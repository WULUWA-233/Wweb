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5015e3ae547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_高证据" sheetId="1" r:id="R1551ad96847a462a"/>
    <x:sheet xmlns:r="http://schemas.openxmlformats.org/officeDocument/2006/relationships" name="第二批_能力明确演训未闭环" sheetId="2" r:id="R28676dff331c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b/>
      <x:sz val="10"/>
      <x:color rgb="FF6E1A1A"/>
      <x:name val="Carlito"/>
    </x:font>
    <x:font>
      <x:sz val="10"/>
      <x:color rgb="FF1F2937"/>
      <x:name val="Carlito"/>
    </x:font>
    <x:font>
      <x:b/>
      <x:sz val="10"/>
      <x:color rgb="FF9C2F15"/>
      <x:name val="Carlito"/>
    </x:font>
    <x:font>
      <x:b/>
      <x:sz val="10"/>
      <x:color rgb="FF276221"/>
      <x:name val="Carlito"/>
    </x:font>
    <x:font>
      <x:b/>
      <x:sz val="10"/>
      <x:color rgb="FF0563C1"/>
      <x:name val="Carlito"/>
    </x:font>
    <x:font>
      <x:sz val="9"/>
      <x:color rgb="FF4B5563"/>
      <x:name val="Carlito"/>
    </x:font>
    <x:font>
      <x:b/>
      <x:sz val="10"/>
      <x:color rgb="FF1F4E7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8B1E1E"/>
      </x:patternFill>
    </x:fill>
    <x:fill>
      <x:patternFill patternType="solid">
        <x:fgColor rgb="FFC44E3B"/>
      </x:patternFill>
    </x:fill>
    <x:fill>
      <x:patternFill patternType="solid">
        <x:fgColor rgb="FFF3DED8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F4E7D8"/>
      </x:patternFill>
    </x:fill>
    <x:fill>
      <x:patternFill patternType="solid">
        <x:fgColor rgb="FFF7F7F7"/>
      </x:patternFill>
    </x:fill>
    <x:fill>
      <x:patternFill patternType="solid">
        <x:fgColor rgb="FFD9EAF7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horizontal="center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horizontal="center" vertical="top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horizontal="center" vertical="top" wrapText="1"/>
    </x:xf>
    <x:xf numFmtId="0" fontId="9" fillId="9" borderId="0" xfId="0" applyNumberFormat="1" applyFont="1" applyFill="1" applyBorder="1" applyAlignment="1">
      <x:alignment horizontal="center" vertical="center" wrapText="1"/>
    </x:xf>
    <x:xf numFmtId="0" fontId="4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horizontal="center" vertical="top" wrapText="1"/>
    </x:xf>
    <x:xf numFmtId="0" fontId="9" fillId="9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vertical="top" wrapText="1"/>
    </x:xf>
    <x:xf numFmtId="0" fontId="4" fillId="10" borderId="1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7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51115793c4bdd" /><Relationship Type="http://schemas.openxmlformats.org/officeDocument/2006/relationships/theme" Target="/xl/theme/theme1.xml" Id="Ra83b87b5b590422b" /><Relationship Type="http://schemas.openxmlformats.org/officeDocument/2006/relationships/sharedStrings" Target="/xl/sharedStrings.xml" Id="Ra416f82be31c4585" /><Relationship Type="http://schemas.openxmlformats.org/officeDocument/2006/relationships/worksheet" Target="/xl/worksheets/sheet1.xml" Id="R1551ad96847a462a" /><Relationship Type="http://schemas.openxmlformats.org/officeDocument/2006/relationships/worksheet" Target="/xl/worksheets/sheet2.xml" Id="R28676dff331c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" hidden="0" customWidth="1"/>
    <x:col min="4" max="4" width="30" hidden="0" customWidth="1"/>
    <x:col min="5" max="5" width="43" hidden="0" customWidth="1"/>
    <x:col min="6" max="6" width="16" hidden="0" customWidth="1"/>
    <x:col min="7" max="7" width="20" hidden="0" customWidth="1"/>
    <x:col min="8" max="8" width="18" hidden="0" customWidth="1"/>
    <x:col min="9" max="9" width="27" hidden="0" customWidth="1"/>
    <x:col min="10" max="10" width="18" hidden="0" customWidth="1"/>
    <x:col min="11" max="11" width="22" hidden="0" customWidth="1"/>
    <x:col min="12" max="12" width="20" hidden="0" customWidth="1"/>
    <x:col min="13" max="13" width="32" hidden="0" customWidth="1"/>
    <x:col min="14" max="14" width="49" hidden="0" customWidth="1"/>
    <x:col min="15" max="15" width="49" hidden="0" customWidth="1"/>
    <x:col min="16" max="16" width="20" hidden="0" customWidth="1"/>
    <x:col min="17" max="17" width="27" hidden="0" customWidth="1"/>
    <x:col min="18" max="18" width="27" hidden="0" customWidth="1"/>
    <x:col min="19" max="19" width="27" hidden="0" customWidth="1"/>
    <x:col min="20" max="20" width="50" hidden="0" customWidth="1"/>
  </x:cols>
  <x:sheetData>
    <x:row r="1" ht="38" customHeight="1">
      <x:c r="A1" s="6" t="str">
        <x:v>第一批海上无人补给/作战平台数据库｜中国｜军方演训闭环较完整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30" customHeight="1">
      <x:c r="A2" s="16" t="str">
        <x:v>国家/地区</x:v>
      </x:c>
      <x:c r="B2" s="16" t="str">
        <x:v>平台</x:v>
      </x:c>
      <x:c r="C2" s="16" t="str">
        <x:v>标签</x:v>
      </x:c>
      <x:c r="D2" s="16" t="str">
        <x:v>平台类型/定位</x:v>
      </x:c>
      <x:c r="E2" s="16" t="str">
        <x:v>可携带补给/武器载荷</x:v>
      </x:c>
      <x:c r="F2" s="16" t="str">
        <x:v>公开性能</x:v>
      </x:c>
      <x:c r="G2" s="16"/>
      <x:c r="H2" s="16"/>
      <x:c r="I2" s="16"/>
      <x:c r="J2" s="16"/>
      <x:c r="K2" s="16"/>
      <x:c r="L2" s="16"/>
      <x:c r="M2" s="16"/>
      <x:c r="N2" s="16" t="str">
        <x:v>演习/试验/公开使用证据</x:v>
      </x:c>
      <x:c r="O2" s="16" t="str">
        <x:v>操控方式与人员参与</x:v>
      </x:c>
      <x:c r="P2" s="16" t="str">
        <x:v>证据级别</x:v>
      </x:c>
      <x:c r="Q2" s="16" t="str">
        <x:v>数据来源（点击打开原文）</x:v>
      </x:c>
      <x:c r="R2" s="16"/>
      <x:c r="S2" s="16"/>
      <x:c r="T2" s="16" t="str">
        <x:v>核验备注</x:v>
      </x:c>
    </x:row>
    <x:row r="3" ht="30" customHeight="1">
      <x:c r="A3" s="26"/>
      <x:c r="B3" s="26"/>
      <x:c r="C3" s="26"/>
      <x:c r="D3" s="26"/>
      <x:c r="E3" s="26"/>
      <x:c r="F3" s="26" t="str">
        <x:v>长度</x:v>
      </x:c>
      <x:c r="G3" s="26" t="str">
        <x:v>宽度/吃水/潜深</x:v>
      </x:c>
      <x:c r="H3" s="26" t="str">
        <x:v>重量/排水量</x:v>
      </x:c>
      <x:c r="I3" s="26" t="str">
        <x:v>有效载荷/武器量</x:v>
      </x:c>
      <x:c r="J3" s="26" t="str">
        <x:v>速度</x:v>
      </x:c>
      <x:c r="K3" s="26" t="str">
        <x:v>航程</x:v>
      </x:c>
      <x:c r="L3" s="26" t="str">
        <x:v>续航</x:v>
      </x:c>
      <x:c r="M3" s="26" t="str">
        <x:v>动力/海况/通信</x:v>
      </x:c>
      <x:c r="N3" s="26"/>
      <x:c r="O3" s="26"/>
      <x:c r="P3" s="26"/>
      <x:c r="Q3" s="26" t="str">
        <x:v>性能来源</x:v>
      </x:c>
      <x:c r="R3" s="26" t="str">
        <x:v>演习/试验来源</x:v>
      </x:c>
      <x:c r="S3" s="26" t="str">
        <x:v>操控/任务来源</x:v>
      </x:c>
      <x:c r="T3" s="26"/>
    </x:row>
    <x:row r="4" ht="92" customHeight="1">
      <x:c r="A4" s="34" t="str">
        <x:v>中国</x:v>
      </x:c>
      <x:c r="B4" s="34" t="str">
        <x:v>无人破障艇（公开演练型）</x:v>
      </x:c>
      <x:c r="C4" s="41" t="str">
        <x:v>W</x:v>
      </x:c>
      <x:c r="D4" s="34" t="str">
        <x:v>两栖登陆工程保障无人艇 / 破障弹药投送平台</x:v>
      </x:c>
      <x:c r="E4" s="34" t="str">
        <x:v>公开演练中携带并抛射16枚大口径破障弹；较新公开分析所示版本为18管。用于破除轨条砦、地雷等水际滩头障碍。</x:v>
      </x:c>
      <x:c r="F4" s="34" t="str">
        <x:v>约 7 m（公开分析估测）</x:v>
      </x:c>
      <x:c r="G4" s="34" t="str">
        <x:v>&lt;3 m（公开分析估测）</x:v>
      </x:c>
      <x:c r="H4" s="34" t="str">
        <x:v>未公开</x:v>
      </x:c>
      <x:c r="I4" s="34" t="str">
        <x:v>16枚破障弹（2020演练画面）；新一代公开分析称18管</x:v>
      </x:c>
      <x:c r="J4" s="34" t="str">
        <x:v>未公开具体节数；公开视频显示高速机动</x:v>
      </x:c>
      <x:c r="K4" s="34" t="str">
        <x:v>未公开</x:v>
      </x:c>
      <x:c r="L4" s="34" t="str">
        <x:v>未公开</x:v>
      </x:c>
      <x:c r="M4" s="34" t="str">
        <x:v>未公开；低矮快艇艇型；公开分析称具艇艏声呐/防搁浅辅助</x:v>
      </x:c>
      <x:c r="N4" s="34" t="str">
        <x:v>2011年广州军区某工兵团水际滩头工程破障演练：破障兵遥控破障艇接近目标区并协同开辟10多米通路。2020年多兵种联合渡海登陆演练中又出现无人破障艇抛射16枚破障弹。</x:v>
      </x:c>
      <x:c r="O4" s="34" t="str">
        <x:v>遥控为主；2011年解放军报报道明确为“破障兵遥控破障艇”。2020公开画面显示操作员可控制左右舵、加减速、正/倒车及发射准备；部分资料称保留人工操艇模式用于调试/异常处理。</x:v>
      </x:c>
      <x:c r="P4" s="49" t="str">
        <x:v>E3</x:v>
      </x:c>
      <x:c r="Q4" s="54" t="e">
        <x:f>HYPERLINK("https://www.wforum.com/news/weapons/2026/08/28/575329.html","兵器知识转载｜尺寸/结构分析")</x:f>
        <x:v>HYPERLINK is not implemented. linkLocation=https://www.wforum.com/news/weapons/2026/08/28/575329.html, friendlyName=兵器知识转载｜尺寸/结构分析</x:v>
      </x:c>
      <x:c r="R4" s="54" t="e">
        <x:f>HYPERLINK("https://www.chinanews.com/gn/2011/10-19/3397990.shtml","中新网/解放军报｜2011破障演练")</x:f>
        <x:v>HYPERLINK is not implemented. linkLocation=https://www.chinanews.com/gn/2011/10-19/3397990.shtml, friendlyName=中新网/解放军报｜2011破障演练</x:v>
      </x:c>
      <x:c r="S4" s="54" t="e">
        <x:f>HYPERLINK("https://www.lingerpower.com/hyzx/info_itemid_75.html?siteId=v2XiyrjJTw.one","公开演练资料｜2020遥控/16枚破障弹")</x:f>
        <x:v>HYPERLINK is not implemented. linkLocation=https://www.lingerpower.com/hyzx/info_itemid_75.html?siteId=v2XiyrjJTw.one, friendlyName=公开演练资料｜2020遥控/16枚破障弹</x:v>
      </x:c>
      <x:c r="T4" s="34" t="str">
        <x:v>目前公开证据中最接近“能力+军方演练+弹药投送”的中国海上无人单位。精确型号名、动力、航程、最高航速未公开；尺寸来自公开分析估测，不能视为官方定型参数。</x:v>
      </x:c>
    </x:row>
    <x:row r="6" ht="32" customHeight="1">
      <x:c r="A6" s="59" t="str">
        <x:v>标签：L = Logistics（补给/运输）；L/W = Logistics + Weapon（兼具补给/运输与武器载荷）；W = Weapon/Combat Payload（导弹、鱼雷、水雷、破障弹等作战载荷为主）。</x:v>
      </x:c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</x:row>
    <x:row r="7" ht="42" customHeight="1">
      <x:c r="A7" s="67" t="str">
        <x:v>证据：E3 = 在军方演训中实际执行作战/保障任务。第二批“未达E2”表示已有性能、武器能力及海试/实弹试验/防务展等公开证据，但尚未找到可直接核验的具名中国军方演习记录。核验截至2026-09-23。</x:v>
      </x:c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</x:row>
  </x:sheetData>
  <x:mergeCells>
    <x:mergeCell ref="A1:T1"/>
    <x:mergeCell ref="A2:A3"/>
    <x:mergeCell ref="B2:B3"/>
    <x:mergeCell ref="C2:C3"/>
    <x:mergeCell ref="D2:D3"/>
    <x:mergeCell ref="E2:E3"/>
    <x:mergeCell ref="N2:N3"/>
    <x:mergeCell ref="O2:O3"/>
    <x:mergeCell ref="P2:P3"/>
    <x:mergeCell ref="T2:T3"/>
    <x:mergeCell ref="F2:M2"/>
    <x:mergeCell ref="Q2:S2"/>
    <x:mergeCell ref="A6:T6"/>
    <x:mergeCell ref="A7:T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8" hidden="0" customWidth="1"/>
    <x:col min="4" max="4" width="30" hidden="0" customWidth="1"/>
    <x:col min="5" max="5" width="43" hidden="0" customWidth="1"/>
    <x:col min="6" max="6" width="16" hidden="0" customWidth="1"/>
    <x:col min="7" max="7" width="20" hidden="0" customWidth="1"/>
    <x:col min="8" max="8" width="18" hidden="0" customWidth="1"/>
    <x:col min="9" max="9" width="27" hidden="0" customWidth="1"/>
    <x:col min="10" max="10" width="18" hidden="0" customWidth="1"/>
    <x:col min="11" max="11" width="22" hidden="0" customWidth="1"/>
    <x:col min="12" max="12" width="20" hidden="0" customWidth="1"/>
    <x:col min="13" max="13" width="32" hidden="0" customWidth="1"/>
    <x:col min="14" max="14" width="49" hidden="0" customWidth="1"/>
    <x:col min="15" max="15" width="49" hidden="0" customWidth="1"/>
    <x:col min="16" max="16" width="20" hidden="0" customWidth="1"/>
    <x:col min="17" max="17" width="27" hidden="0" customWidth="1"/>
    <x:col min="18" max="18" width="27" hidden="0" customWidth="1"/>
    <x:col min="19" max="19" width="27" hidden="0" customWidth="1"/>
    <x:col min="20" max="20" width="50" hidden="0" customWidth="1"/>
  </x:cols>
  <x:sheetData>
    <x:row r="1" ht="38" customHeight="1">
      <x:c r="A1" s="6" t="str">
        <x:v>第二批：平台能力明确，但武器/物流验证与公开军方演训证据未完全闭环｜中国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</x:row>
    <x:row r="2" ht="30" customHeight="1">
      <x:c r="A2" s="16" t="str">
        <x:v>国家/地区</x:v>
      </x:c>
      <x:c r="B2" s="16" t="str">
        <x:v>平台</x:v>
      </x:c>
      <x:c r="C2" s="16" t="str">
        <x:v>标签</x:v>
      </x:c>
      <x:c r="D2" s="16" t="str">
        <x:v>平台类型/定位</x:v>
      </x:c>
      <x:c r="E2" s="16" t="str">
        <x:v>可携带补给/武器载荷</x:v>
      </x:c>
      <x:c r="F2" s="16" t="str">
        <x:v>公开性能</x:v>
      </x:c>
      <x:c r="G2" s="16"/>
      <x:c r="H2" s="16"/>
      <x:c r="I2" s="16"/>
      <x:c r="J2" s="16"/>
      <x:c r="K2" s="16"/>
      <x:c r="L2" s="16"/>
      <x:c r="M2" s="16"/>
      <x:c r="N2" s="16" t="str">
        <x:v>演习/试验/公开使用证据</x:v>
      </x:c>
      <x:c r="O2" s="16" t="str">
        <x:v>操控方式与人员参与</x:v>
      </x:c>
      <x:c r="P2" s="16" t="str">
        <x:v>证据级别</x:v>
      </x:c>
      <x:c r="Q2" s="16" t="str">
        <x:v>数据来源（点击打开原文）</x:v>
      </x:c>
      <x:c r="R2" s="16"/>
      <x:c r="S2" s="16"/>
      <x:c r="T2" s="16" t="str">
        <x:v>核验备注</x:v>
      </x:c>
    </x:row>
    <x:row r="3" ht="30" customHeight="1">
      <x:c r="A3" s="26"/>
      <x:c r="B3" s="26"/>
      <x:c r="C3" s="26"/>
      <x:c r="D3" s="26"/>
      <x:c r="E3" s="26"/>
      <x:c r="F3" s="26" t="str">
        <x:v>长度</x:v>
      </x:c>
      <x:c r="G3" s="26" t="str">
        <x:v>宽度/吃水/潜深</x:v>
      </x:c>
      <x:c r="H3" s="26" t="str">
        <x:v>重量/排水量</x:v>
      </x:c>
      <x:c r="I3" s="26" t="str">
        <x:v>有效载荷/武器量</x:v>
      </x:c>
      <x:c r="J3" s="26" t="str">
        <x:v>速度</x:v>
      </x:c>
      <x:c r="K3" s="26" t="str">
        <x:v>航程</x:v>
      </x:c>
      <x:c r="L3" s="26" t="str">
        <x:v>续航</x:v>
      </x:c>
      <x:c r="M3" s="26" t="str">
        <x:v>动力/海况/通信</x:v>
      </x:c>
      <x:c r="N3" s="26"/>
      <x:c r="O3" s="26"/>
      <x:c r="P3" s="26"/>
      <x:c r="Q3" s="26" t="str">
        <x:v>性能来源</x:v>
      </x:c>
      <x:c r="R3" s="26" t="str">
        <x:v>演习/试验来源</x:v>
      </x:c>
      <x:c r="S3" s="26" t="str">
        <x:v>操控/任务来源</x:v>
      </x:c>
      <x:c r="T3" s="26"/>
    </x:row>
    <x:row r="4" ht="92" customHeight="1">
      <x:c r="A4" s="34" t="str">
        <x:v>中国</x:v>
      </x:c>
      <x:c r="B4" s="34" t="str">
        <x:v>“瞭望者Ⅱ”察打一体导弹无人艇</x:v>
      </x:c>
      <x:c r="C4" s="41" t="str">
        <x:v>W</x:v>
      </x:c>
      <x:c r="D4" s="34" t="str">
        <x:v>导弹无人水面艇 / 察打一体平台</x:v>
      </x:c>
      <x:c r="E4" s="34" t="str">
        <x:v>艇艏四联装导弹发射装置，可发射4枚图像制导精确导弹；最大导弹射程5 km；还可按任务更换水炮、声光拒止、电子对抗等载荷。</x:v>
      </x:c>
      <x:c r="F4" s="34" t="str">
        <x:v>7.5 m</x:v>
      </x:c>
      <x:c r="G4" s="34" t="str">
        <x:v>2.7 m</x:v>
      </x:c>
      <x:c r="H4" s="34" t="str">
        <x:v>排水量 3.7 t</x:v>
      </x:c>
      <x:c r="I4" s="34" t="str">
        <x:v>4枚精确导弹（四联装）</x:v>
      </x:c>
      <x:c r="J4" s="34" t="str">
        <x:v>45 kn</x:v>
      </x:c>
      <x:c r="K4" s="34" t="str">
        <x:v>310 nmi @ 22 kn</x:v>
      </x:c>
      <x:c r="L4" s="34" t="str">
        <x:v>以航程口径公开，未单列小时数</x:v>
      </x:c>
      <x:c r="M4" s="34" t="str">
        <x:v>适用于4级海况；具体发动机未公开</x:v>
      </x:c>
      <x:c r="N4" s="34" t="str">
        <x:v>2018珠海航展公开亮相前，已成功完成首发导弹飞行试验并命中靶心。未找到可直接核验的“该型号参加具名解放军军演”公开资料。</x:v>
      </x:c>
      <x:c r="O4" s="34" t="str">
        <x:v>全自主、半自主、远程手动遥控、人工驾驶四种模式；搭载光电和雷达系统。</x:v>
      </x:c>
      <x:c r="P4" s="75" t="str">
        <x:v>实弹试验（未达E2）</x:v>
      </x:c>
      <x:c r="Q4" s="54" t="e">
        <x:f>HYPERLINK("https://www.mod.gov.cn/gfbw/qwfb/4829146.html?big=fan","国防部｜瞭望者Ⅱ参数原文")</x:f>
        <x:v>HYPERLINK is not implemented. linkLocation=https://www.mod.gov.cn/gfbw/qwfb/4829146.html?big=fan, friendlyName=国防部｜瞭望者Ⅱ参数原文</x:v>
      </x:c>
      <x:c r="R4" s="54" t="e">
        <x:f>HYPERLINK("https://www.mod.gov.cn/gfbw/qwfb/4829146.html?big=fan","国防部｜导弹试射/航展公开")</x:f>
        <x:v>HYPERLINK is not implemented. linkLocation=https://www.mod.gov.cn/gfbw/qwfb/4829146.html?big=fan, friendlyName=国防部｜导弹试射/航展公开</x:v>
      </x:c>
      <x:c r="S4" s="54" t="e">
        <x:f>HYPERLINK("https://www.mod.gov.cn/gfbw/qwfb/4829146_2.html","国防部｜操控模式/任务")</x:f>
        <x:v>HYPERLINK is not implemented. linkLocation=https://www.mod.gov.cn/gfbw/qwfb/4829146_2.html, friendlyName=国防部｜操控模式/任务</x:v>
      </x:c>
      <x:c r="T4" s="34" t="str">
        <x:v>参数与导弹试验均来自国防部转载央广军事报道；缺口在于未找到公开具名军演闭环，因此放入第二批。</x:v>
      </x:c>
    </x:row>
    <x:row r="5" ht="92" customHeight="1">
      <x:c r="A5" s="80" t="str">
        <x:v>中国</x:v>
      </x:c>
      <x:c r="B5" s="80" t="str">
        <x:v>JARI-USV 多用途无人作战艇</x:v>
      </x:c>
      <x:c r="C5" s="41" t="str">
        <x:v>W</x:v>
      </x:c>
      <x:c r="D5" s="80" t="str">
        <x:v>多用途无人水面作战艇（反舰/防空/反潜）</x:v>
      </x:c>
      <x:c r="E5" s="80" t="str">
        <x:v>30 mm遥控武器站；2×4单元垂直发射系统，可配置舰空/反舰导弹；两舷可选轻型鱼雷发射管；可配声呐。</x:v>
      </x:c>
      <x:c r="F5" s="80" t="str">
        <x:v>15 m</x:v>
      </x:c>
      <x:c r="G5" s="80" t="str">
        <x:v>4.8 m；型深约1.8 m</x:v>
      </x:c>
      <x:c r="H5" s="80" t="str">
        <x:v>排水量约 20 t</x:v>
      </x:c>
      <x:c r="I5" s="80" t="str">
        <x:v>8单元VLS + 30 mm RWS + 可选2具轻型鱼雷发射管</x:v>
      </x:c>
      <x:c r="J5" s="80" t="str">
        <x:v>42 kn</x:v>
      </x:c>
      <x:c r="K5" s="80" t="str">
        <x:v>500 nmi</x:v>
      </x:c>
      <x:c r="L5" s="80" t="str">
        <x:v>未公开</x:v>
      </x:c>
      <x:c r="M5" s="80" t="str">
        <x:v>单喷水推进（早期公开原型）；模块化任务系统</x:v>
      </x:c>
      <x:c r="N5" s="80" t="str">
        <x:v>2018年CSOC在AAD防务展公开时表示原型艇已开始海试；2019年正式下水。未找到可直接核验的具名解放军演习记录。</x:v>
      </x:c>
      <x:c r="O5" s="80" t="str">
        <x:v>CSOC公开称可从岸上或海上“母舰”控制；具卫星通信、相控阵雷达、光电与导航传感器。</x:v>
      </x:c>
      <x:c r="P5" s="75" t="str">
        <x:v>海试（未达E2）</x:v>
      </x:c>
      <x:c r="Q5" s="82" t="e">
        <x:f>HYPERLINK("https://www.armyrecognition.com/archives/archives-naval-defense/naval-defense-2018/aad-2018-china-s-csoc-unveils-jari-unmanned-surface-combatant-usv","Army Recognition｜CSOC参数/海试")</x:f>
        <x:v>HYPERLINK is not implemented. linkLocation=https://www.armyrecognition.com/archives/archives-naval-defense/naval-defense-2018/aad-2018-china-s-csoc-unveils-jari-unmanned-surface-combatant-usv, friendlyName=Army Recognition｜CSOC参数/海试</x:v>
      </x:c>
      <x:c r="R5" s="82" t="e">
        <x:f>HYPERLINK("https://www.armyrecognition.com/archives/archives-naval-defense/naval-defense-2018/aad-2018-china-s-csoc-unveils-jari-unmanned-surface-combatant-usv","Army Recognition｜原型海试")</x:f>
        <x:v>HYPERLINK is not implemented. linkLocation=https://www.armyrecognition.com/archives/archives-naval-defense/naval-defense-2018/aad-2018-china-s-csoc-unveils-jari-unmanned-surface-combatant-usv, friendlyName=Army Recognition｜原型海试</x:v>
      </x:c>
      <x:c r="S5" s="82" t="e">
        <x:f>HYPERLINK("https://www.armyrecognition.com/archives/archives-naval-defense/naval-defense-2018/aad-2018-china-s-csoc-unveils-jari-unmanned-surface-combatant-usv","Army Recognition｜控制/武器配置")</x:f>
        <x:v>HYPERLINK is not implemented. linkLocation=https://www.armyrecognition.com/archives/archives-naval-defense/naval-defense-2018/aad-2018-china-s-csoc-unveils-jari-unmanned-surface-combatant-usv, friendlyName=Army Recognition｜控制/武器配置</x:v>
      </x:c>
      <x:c r="T5" s="80" t="str">
        <x:v>公开参数来自中国船贸（CSOC）展会代表对外披露，经专业防务媒体记录；尚无公开资料证明已正式列装或参加具名PLA军演。</x:v>
      </x:c>
    </x:row>
    <x:row r="6" ht="92" customHeight="1">
      <x:c r="A6" s="34" t="str">
        <x:v>中国</x:v>
      </x:c>
      <x:c r="B6" s="34" t="str">
        <x:v>JARI-USV-A “虎鲸/Orca”</x:v>
      </x:c>
      <x:c r="C6" s="41" t="str">
        <x:v>W</x:v>
      </x:c>
      <x:c r="D6" s="34" t="str">
        <x:v>大型高速隐身无人水面作战舰</x:v>
      </x:c>
      <x:c r="E6" s="34" t="str">
        <x:v>官方公开能力包括远程打击、防空、反导和反潜；具体导弹/鱼雷型号与弹药数量未在国防部公开页披露。</x:v>
      </x:c>
      <x:c r="F6" s="34" t="str">
        <x:v>58 m</x:v>
      </x:c>
      <x:c r="G6" s="34" t="str">
        <x:v>23 m；型深约4 m</x:v>
      </x:c>
      <x:c r="H6" s="34" t="str">
        <x:v>约 500 t</x:v>
      </x:c>
      <x:c r="I6" s="34" t="str">
        <x:v>具体武器载荷数量未公开</x:v>
      </x:c>
      <x:c r="J6" s="34" t="str">
        <x:v>40 kn</x:v>
      </x:c>
      <x:c r="K6" s="34" t="str">
        <x:v>&gt;4,000 nmi</x:v>
      </x:c>
      <x:c r="L6" s="34" t="str">
        <x:v>未公开</x:v>
      </x:c>
      <x:c r="M6" s="34" t="str">
        <x:v>柴电双模式推进；三体隐身艇型</x:v>
      </x:c>
      <x:c r="N6" s="34" t="str">
        <x:v>2024年第15届中国航展全球首次公开展示。公开官方资料未给出具名军演或实弹验证记录。</x:v>
      </x:c>
      <x:c r="O6" s="34" t="str">
        <x:v>定位为大型无人作战艇；官方公开能力涵盖远程打击、防空、反导、反潜。具体岸基控制链和人工介入方式未公开。</x:v>
      </x:c>
      <x:c r="P6" s="75" t="str">
        <x:v>公开展示（未达E2）</x:v>
      </x:c>
      <x:c r="Q6" s="54" t="e">
        <x:f>HYPERLINK("https://eng.mod.gov.cn/xb/News_213114/TopStories/16352706.html","中国国防部｜虎鲸性能参数")</x:f>
        <x:v>HYPERLINK is not implemented. linkLocation=https://eng.mod.gov.cn/xb/News_213114/TopStories/16352706.html, friendlyName=中国国防部｜虎鲸性能参数</x:v>
      </x:c>
      <x:c r="R6" s="54" t="e">
        <x:f>HYPERLINK("https://eng.mod.gov.cn/xb/News_213114/TopStories/16351088.html","中国国防部｜2024航展首展")</x:f>
        <x:v>HYPERLINK is not implemented. linkLocation=https://eng.mod.gov.cn/xb/News_213114/TopStories/16351088.html, friendlyName=中国国防部｜2024航展首展</x:v>
      </x:c>
      <x:c r="S6" s="54" t="e">
        <x:f>HYPERLINK("https://eng.mod.gov.cn/xb/News_213114/TopStories/16352706.html","中国国防部｜能力定位")</x:f>
        <x:v>HYPERLINK is not implemented. linkLocation=https://eng.mod.gov.cn/xb/News_213114/TopStories/16352706.html, friendlyName=中国国防部｜能力定位</x:v>
      </x:c>
      <x:c r="T6" s="34" t="str">
        <x:v>官方参数非常完整，但目前公开证据只到航展展示/能力介绍，未找到具名军演或实弹任务，因此严格放第二批。</x:v>
      </x:c>
    </x:row>
    <x:row r="7" ht="92" customHeight="1">
      <x:c r="A7" s="80" t="str">
        <x:v>中国</x:v>
      </x:c>
      <x:c r="B7" s="80" t="str">
        <x:v>L80 USV（云洲智能）</x:v>
      </x:c>
      <x:c r="C7" s="41" t="str">
        <x:v>W</x:v>
      </x:c>
      <x:c r="D7" s="80" t="str">
        <x:v>内河/浅水武装无人艇开发型</x:v>
      </x:c>
      <x:c r="E7" s="80" t="str">
        <x:v>可装12.7 mm遥控武器站或精确制导导弹发射器；也可换装LRAD、眩目器等非致命载荷。</x:v>
      </x:c>
      <x:c r="F7" s="80" t="str">
        <x:v>12.12 m</x:v>
      </x:c>
      <x:c r="G7" s="80" t="str">
        <x:v>3.8 m；高1.62 m；满载平均吃水0.45 m</x:v>
      </x:c>
      <x:c r="H7" s="80" t="str">
        <x:v>未公开</x:v>
      </x:c>
      <x:c r="I7" s="80" t="str">
        <x:v>具体载荷重量未公开；武器模块可选12.7 mm RWS或精确制导导弹</x:v>
      </x:c>
      <x:c r="J7" s="80" t="str">
        <x:v>38 kn</x:v>
      </x:c>
      <x:c r="K7" s="80" t="str">
        <x:v>273 km（约147 nmi）@ 26 kn；另有媒体口径170 nmi</x:v>
      </x:c>
      <x:c r="L7" s="80" t="str">
        <x:v>未公开</x:v>
      </x:c>
      <x:c r="M7" s="80" t="str">
        <x:v>双喷水推进；纤维增强塑料艇体</x:v>
      </x:c>
      <x:c r="N7" s="80" t="str">
        <x:v>2019 IMDEX Asia海事防务展公开；当时仍处开发阶段。未找到公开具名军方演习或实弹验证记录。</x:v>
      </x:c>
      <x:c r="O7" s="80" t="str">
        <x:v>集成云洲自动驾驶/避碰软件；搭载EO/IR、激光测距及通信系统。具体军用控制站配置未公开。</x:v>
      </x:c>
      <x:c r="P7" s="75" t="str">
        <x:v>研发/防务展（未达E2）</x:v>
      </x:c>
      <x:c r="Q7" s="82" t="e">
        <x:f>HYPERLINK("https://www.janes.com/defence-intelligence-insights/defence-news/imdex-2019-yunzhou-tech-unveils-l80-usv-development","Janes｜L80性能/武器配置")</x:f>
        <x:v>HYPERLINK is not implemented. linkLocation=https://www.janes.com/defence-intelligence-insights/defence-news/imdex-2019-yunzhou-tech-unveils-l80-usv-development, friendlyName=Janes｜L80性能/武器配置</x:v>
      </x:c>
      <x:c r="R7" s="82" t="e">
        <x:f>HYPERLINK("https://www.navalnews.com/event-news/imdex-asia-2019/2019/05/imdex-2019-introducing-yunzhous-unmanned-solutions/","Naval News｜IMDEX 2019展示")</x:f>
        <x:v>HYPERLINK is not implemented. linkLocation=https://www.navalnews.com/event-news/imdex-asia-2019/2019/05/imdex-2019-introducing-yunzhous-unmanned-solutions/, friendlyName=Naval News｜IMDEX 2019展示</x:v>
      </x:c>
      <x:c r="S7" s="82" t="e">
        <x:f>HYPERLINK("https://www.navalnews.com/event-news/imdex-asia-2019/2019/05/imdex-2019-introducing-yunzhous-unmanned-solutions/","Naval News｜任务系统/自主软件")</x:f>
        <x:v>HYPERLINK is not implemented. linkLocation=https://www.navalnews.com/event-news/imdex-asia-2019/2019/05/imdex-2019-introducing-yunzhous-unmanned-solutions/, friendlyName=Naval News｜任务系统/自主软件</x:v>
      </x:c>
      <x:c r="T7" s="80" t="str">
        <x:v>面向安全/防务任务的武装USV开发型，但没有满足“军演验证”的公开证据；保留为作战平台候选。</x:v>
      </x:c>
    </x:row>
    <x:row r="8" ht="92" customHeight="1">
      <x:c r="A8" s="34" t="str">
        <x:v>中国</x:v>
      </x:c>
      <x:c r="B8" s="34" t="str">
        <x:v>UUV300CB / UUV300CD（保利科技）</x:v>
      </x:c>
      <x:c r="C8" s="41" t="str">
        <x:v>W</x:v>
      </x:c>
      <x:c r="D8" s="34" t="str">
        <x:v>大型多任务无人潜航器 / 水雷与鱼雷载荷平台</x:v>
      </x:c>
      <x:c r="E8" s="34" t="str">
        <x:v>UUV300CB可携带水雷和更小型UUV；UUV300CD变体两舷具轻型鱼雷发射能力。公开展示视频还暗示其他武器接口，但未正式确认。</x:v>
      </x:c>
      <x:c r="F8" s="34" t="str">
        <x:v>11.5 m</x:v>
      </x:c>
      <x:c r="G8" s="34" t="str">
        <x:v>直径 1.6 m；最大潜深 300 m</x:v>
      </x:c>
      <x:c r="H8" s="34" t="str">
        <x:v>满载 50 t</x:v>
      </x:c>
      <x:c r="I8" s="34" t="str">
        <x:v>可携水雷/小型UUV；CD型可发射轻型鱼雷（数量未公开）</x:v>
      </x:c>
      <x:c r="J8" s="34" t="str">
        <x:v>12 kn</x:v>
      </x:c>
      <x:c r="K8" s="34" t="str">
        <x:v>450 nmi @ 5 kn</x:v>
      </x:c>
      <x:c r="L8" s="34" t="str">
        <x:v>未公开</x:v>
      </x:c>
      <x:c r="M8" s="34" t="str">
        <x:v>电力推进；卫星/UHF/水声通信；声学特征&lt;140 dB</x:v>
      </x:c>
      <x:c r="N8" s="34" t="str">
        <x:v>2024 DSA防务展首次公开，处于开发阶段。未找到公开具名中国军方演习、海试或实弹鱼雷验证记录。</x:v>
      </x:c>
      <x:c r="O8" s="34" t="str">
        <x:v>自主执行水面侦察、布雷等任务；具光电潜望镜、卫星/UHF/水声通信。具体人工监控编组未公开。</x:v>
      </x:c>
      <x:c r="P8" s="75" t="str">
        <x:v>研发/防务展（未达E2）</x:v>
      </x:c>
      <x:c r="Q8" s="54" t="e">
        <x:f>HYPERLINK("https://www.navalnews.com/naval-news/2024/05/dsa-2024-new-torpedo-launching-uuv-from-china/","Naval News｜UUV300CB性能")</x:f>
        <x:v>HYPERLINK is not implemented. linkLocation=https://www.navalnews.com/naval-news/2024/05/dsa-2024-new-torpedo-launching-uuv-from-china/, friendlyName=Naval News｜UUV300CB性能</x:v>
      </x:c>
      <x:c r="R8" s="54" t="e">
        <x:f>HYPERLINK("https://www.navalnews.com/naval-news/2024/05/dsa-2024-new-torpedo-launching-uuv-from-china/","Naval News｜DSA 2024公开")</x:f>
        <x:v>HYPERLINK is not implemented. linkLocation=https://www.navalnews.com/naval-news/2024/05/dsa-2024-new-torpedo-launching-uuv-from-china/, friendlyName=Naval News｜DSA 2024公开</x:v>
      </x:c>
      <x:c r="S8" s="54" t="e">
        <x:f>HYPERLINK("https://www.navalnews.com/naval-news/2024/05/dsa-2024-new-torpedo-launching-uuv-from-china/","Naval News｜自主任务/通信")</x:f>
        <x:v>HYPERLINK is not implemented. linkLocation=https://www.navalnews.com/naval-news/2024/05/dsa-2024-new-torpedo-launching-uuv-from-china/, friendlyName=Naval News｜自主任务/通信</x:v>
      </x:c>
      <x:c r="T8" s="34" t="str">
        <x:v>满足“携带水雷/鱼雷等作战载荷 + 详细性能”，但公开证据仍停留在防务展/研发阶段，因此不能标为已参演。</x:v>
      </x:c>
    </x:row>
    <x:row r="10" ht="32" customHeight="1">
      <x:c r="A10" s="59" t="str">
        <x:v>标签：L = Logistics（补给/运输）；L/W = Logistics + Weapon（兼具补给/运输与武器载荷）；W = Weapon/Combat Payload（导弹、鱼雷、水雷、破障弹等作战载荷为主）。</x:v>
      </x:c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</x:row>
    <x:row r="11" ht="42" customHeight="1">
      <x:c r="A11" s="67" t="str">
        <x:v>证据：E3 = 在军方演训中实际执行作战/保障任务。第二批“未达E2”表示已有性能、武器能力及海试/实弹试验/防务展等公开证据，但尚未找到可直接核验的具名中国军方演习记录。核验截至2026-09-23。</x:v>
      </x:c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</x:row>
  </x:sheetData>
  <x:mergeCells>
    <x:mergeCell ref="A1:T1"/>
    <x:mergeCell ref="A2:A3"/>
    <x:mergeCell ref="B2:B3"/>
    <x:mergeCell ref="C2:C3"/>
    <x:mergeCell ref="D2:D3"/>
    <x:mergeCell ref="E2:E3"/>
    <x:mergeCell ref="N2:N3"/>
    <x:mergeCell ref="O2:O3"/>
    <x:mergeCell ref="P2:P3"/>
    <x:mergeCell ref="T2:T3"/>
    <x:mergeCell ref="F2:M2"/>
    <x:mergeCell ref="Q2:S2"/>
    <x:mergeCell ref="A10:T10"/>
    <x:mergeCell ref="A11:T11"/>
  </x:mergeCells>
  <x:pageMargins left="0.7" right="0.7" top="0.75" bottom="0.75" header="0.3" footer="0.3"/>
</x:worksheet>
</file>