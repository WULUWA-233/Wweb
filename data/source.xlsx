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7bed4fe46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_高证据" sheetId="1" r:id="Rdd106980bea741d0"/>
    <x:sheet xmlns:r="http://schemas.openxmlformats.org/officeDocument/2006/relationships" name="第二批_分离验证" sheetId="2" r:id="Rc0aaa40d29dd41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163A5F"/>
      <x:name val="Carlito"/>
    </x:font>
    <x:font>
      <x:sz val="10"/>
      <x:color rgb="FF1F2937"/>
      <x:name val="Carlito"/>
    </x:font>
    <x:font>
      <x:b/>
      <x:sz val="10"/>
      <x:color rgb="FF2F6B2F"/>
      <x:name val="Carlito"/>
    </x:font>
    <x:font>
      <x:b/>
      <x:sz val="10"/>
      <x:color rgb="FF276221"/>
      <x:name val="Carlito"/>
    </x:font>
    <x:font>
      <x:b/>
      <x:sz val="10"/>
      <x:color rgb="FF8A5A00"/>
      <x:name val="Carlito"/>
    </x:font>
    <x:font>
      <x:b/>
      <x:sz val="10"/>
      <x:color rgb="FF9C2F15"/>
      <x:name val="Carlito"/>
    </x:font>
    <x:font>
      <x:b/>
      <x:sz val="10"/>
      <x:color rgb="FF8B0000"/>
      <x:name val="Carlito"/>
    </x:font>
    <x:font>
      <x:b/>
      <x:sz val="10"/>
      <x:color rgb="FF9C5700"/>
      <x:name val="Carlito"/>
    </x:font>
    <x:font>
      <x:b/>
      <x:sz val="10"/>
      <x:color rgb="FF0563C1"/>
      <x:name val="Carlito"/>
    </x:font>
    <x:font>
      <x:sz val="9"/>
      <x:color rgb="FF4B5563"/>
      <x:name val="Carlito"/>
    </x:font>
    <x:font>
      <x:b/>
      <x:sz val="10"/>
      <x:color rgb="FF1F4E78"/>
      <x:name val="Carlito"/>
    </x:font>
    <x:font>
      <x:b/>
      <x:sz val="10"/>
      <x:color rgb="FF444444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E2F0D9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EAF2F8"/>
      </x:patternFill>
    </x:fill>
    <x:fill>
      <x:patternFill patternType="solid">
        <x:fgColor rgb="FFF8F9FA"/>
      </x:patternFill>
    </x:fill>
    <x:fill>
      <x:patternFill patternType="solid">
        <x:fgColor rgb="FFEDEDED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horizontal="center" vertical="top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horizontal="center" vertical="top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horizontal="center" vertical="top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horizontal="center" vertical="top" wrapText="1"/>
    </x:xf>
    <x:xf numFmtId="0" fontId="8" fillId="9" borderId="1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horizontal="center" vertical="top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vertical="top" wrapText="1"/>
    </x:xf>
    <x:xf numFmtId="0" fontId="9" fillId="10" borderId="1" xfId="0" applyNumberFormat="1" applyFont="1" applyFill="1" applyBorder="1" applyAlignment="1">
      <x:alignment vertical="top" wrapText="1"/>
    </x:xf>
    <x:xf numFmtId="0" fontId="9" fillId="10" borderId="1" xfId="0" applyNumberFormat="1" applyFont="1" applyFill="1" applyBorder="1" applyAlignment="1">
      <x:alignment horizontal="center" vertical="top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horizontal="center" vertical="top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 applyAlignment="1">
      <x:alignment vertical="top" wrapText="1"/>
    </x:xf>
    <x:xf numFmtId="0" fontId="10" fillId="11" borderId="1" xfId="0" applyNumberFormat="1" applyFont="1" applyFill="1" applyBorder="1" applyAlignment="1">
      <x:alignment vertical="top" wrapText="1"/>
    </x:xf>
    <x:xf numFmtId="0" fontId="10" fillId="11" borderId="1" xfId="0" applyNumberFormat="1" applyFont="1" applyFill="1" applyBorder="1" applyAlignment="1">
      <x:alignment horizontal="center" vertical="top" wrapText="1"/>
    </x:xf>
    <x:xf numFmtId="0" fontId="10" fillId="11" borderId="1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horizontal="left" vertical="top" wrapText="1"/>
    </x:xf>
    <x:xf numFmtId="0" fontId="11" fillId="5" borderId="0" xfId="0" applyNumberFormat="1" applyFont="1" applyFill="1" applyBorder="1" applyAlignment="1">
      <x:alignment horizontal="left"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horizontal="left" vertical="top" wrapText="1"/>
    </x:xf>
    <x:xf numFmtId="0" fontId="11" fillId="5" borderId="1" xfId="0" applyNumberFormat="1" applyFont="1" applyFill="1" applyBorder="1" applyAlignment="1">
      <x:alignment horizontal="left"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0" xfId="0" applyNumberFormat="1" applyFont="1" applyFill="1" applyBorder="1" applyAlignment="1">
      <x:alignment wrapText="1"/>
    </x:xf>
    <x:xf numFmtId="0" fontId="12" fillId="13" borderId="0" xfId="0" applyNumberFormat="1" applyFont="1" applyFill="1" applyBorder="1" applyAlignment="1">
      <x:alignment vertical="center" wrapText="1"/>
    </x:xf>
    <x:xf numFmtId="0" fontId="0" fillId="13" borderId="1" xfId="0" applyNumberFormat="1" applyFont="1" applyFill="1" applyBorder="1"/>
    <x:xf numFmtId="0" fontId="12" fillId="13" borderId="1" xfId="0" applyNumberFormat="1" applyFont="1" applyFill="1" applyBorder="1"/>
    <x:xf numFmtId="0" fontId="12" fillId="13" borderId="1" xfId="0" applyNumberFormat="1" applyFont="1" applyFill="1" applyBorder="1" applyAlignment="1">
      <x:alignment wrapText="1"/>
    </x:xf>
    <x:xf numFmtId="0" fontId="12" fillId="13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horizontal="center" vertical="top" wrapText="1"/>
    </x:xf>
    <x:xf numFmtId="0" fontId="13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top" wrapText="1"/>
    </x:xf>
    <x:xf numFmtId="0" fontId="13" fillId="4" borderId="1" xfId="0" applyNumberFormat="1" applyFont="1" applyFill="1" applyBorder="1" applyAlignment="1">
      <x:alignment vertical="top" wrapText="1"/>
    </x:xf>
    <x:xf numFmtId="0" fontId="13" fillId="4" borderId="1" xfId="0" applyNumberFormat="1" applyFont="1" applyFill="1" applyBorder="1" applyAlignment="1">
      <x:alignment horizontal="center" vertical="top" wrapText="1"/>
    </x:xf>
    <x:xf numFmtId="0" fontId="13" fillId="4" borderId="1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vertical="top" wrapText="1"/>
    </x:xf>
    <x:xf numFmtId="0" fontId="14" fillId="14" borderId="0" xfId="0" applyNumberFormat="1" applyFont="1" applyFill="1" applyBorder="1" applyAlignment="1">
      <x:alignment vertical="top" wrapText="1"/>
    </x:xf>
    <x:xf numFmtId="0" fontId="14" fillId="14" borderId="0" xfId="0" applyNumberFormat="1" applyFont="1" applyFill="1" applyBorder="1" applyAlignment="1">
      <x:alignment horizontal="center" vertical="top" wrapText="1"/>
    </x:xf>
    <x:xf numFmtId="0" fontId="14" fillId="14" borderId="0" xfId="0" applyNumberFormat="1" applyFont="1" applyFill="1" applyBorder="1" applyAlignment="1">
      <x:alignment horizontal="center" vertical="center" wrapText="1"/>
    </x:xf>
    <x:xf numFmtId="0" fontId="4" fillId="14" borderId="1" xfId="0" applyNumberFormat="1" applyFont="1" applyFill="1" applyBorder="1" applyAlignment="1">
      <x:alignment vertical="top" wrapText="1"/>
    </x:xf>
    <x:xf numFmtId="0" fontId="14" fillId="14" borderId="1" xfId="0" applyNumberFormat="1" applyFont="1" applyFill="1" applyBorder="1" applyAlignment="1">
      <x:alignment vertical="top" wrapText="1"/>
    </x:xf>
    <x:xf numFmtId="0" fontId="14" fillId="14" borderId="1" xfId="0" applyNumberFormat="1" applyFont="1" applyFill="1" applyBorder="1" applyAlignment="1">
      <x:alignment horizontal="center" vertical="top" wrapText="1"/>
    </x:xf>
    <x:xf numFmtId="0" fontId="14" fillId="1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660577ca0466c" /><Relationship Type="http://schemas.openxmlformats.org/officeDocument/2006/relationships/theme" Target="/xl/theme/theme1.xml" Id="Rc632dc511f574d5a" /><Relationship Type="http://schemas.openxmlformats.org/officeDocument/2006/relationships/sharedStrings" Target="/xl/sharedStrings.xml" Id="R4e1455e68c294bc1" /><Relationship Type="http://schemas.openxmlformats.org/officeDocument/2006/relationships/worksheet" Target="/xl/worksheets/sheet1.xml" Id="Rdd106980bea741d0" /><Relationship Type="http://schemas.openxmlformats.org/officeDocument/2006/relationships/worksheet" Target="/xl/worksheets/sheet2.xml" Id="Rc0aaa40d29dd41ab" /></Relationships>
</file>

<file path=xl/theme/theme1.xml><?xml version="1.0" encoding="utf-8"?>
<a:theme xmlns:a="http://schemas.openxmlformats.org/drawingml/2006/main" name="ChatGPT">
  <a:themeElements>
    <a:clrScheme name="Navy Research">
      <a:dk1>
        <a:srgbClr val="111827"/>
      </a:dk1>
      <a:lt1>
        <a:srgbClr val="FFFFFF"/>
      </a:lt1>
      <a:dk2>
        <a:srgbClr val="0E2841"/>
      </a:dk2>
      <a:lt2>
        <a:srgbClr val="F3F6FA"/>
      </a:lt2>
      <a:accent1>
        <a:srgbClr val="163A5F"/>
      </a:accent1>
      <a:accent2>
        <a:srgbClr val="2F75B5"/>
      </a:accent2>
      <a:accent3>
        <a:srgbClr val="4F81BD"/>
      </a:accent3>
      <a:accent4>
        <a:srgbClr val="70AD47"/>
      </a:accent4>
      <a:accent5>
        <a:srgbClr val="ED7D31"/>
      </a:accent5>
      <a:accent6>
        <a:srgbClr val="A5A5A5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avy Research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9" hidden="0" customWidth="1"/>
    <x:col min="4" max="4" width="29" hidden="0" customWidth="1"/>
    <x:col min="5" max="5" width="42" hidden="0" customWidth="1"/>
    <x:col min="6" max="6" width="17" hidden="0" customWidth="1"/>
    <x:col min="7" max="7" width="17" hidden="0" customWidth="1"/>
    <x:col min="8" max="8" width="18" hidden="0" customWidth="1"/>
    <x:col min="9" max="9" width="19" hidden="0" customWidth="1"/>
    <x:col min="10" max="10" width="18" hidden="0" customWidth="1"/>
    <x:col min="11" max="11" width="20" hidden="0" customWidth="1"/>
    <x:col min="12" max="12" width="19" hidden="0" customWidth="1"/>
    <x:col min="13" max="13" width="30" hidden="0" customWidth="1"/>
    <x:col min="14" max="14" width="46" hidden="0" customWidth="1"/>
    <x:col min="15" max="15" width="48" hidden="0" customWidth="1"/>
    <x:col min="16" max="16" width="15" hidden="0" customWidth="1"/>
    <x:col min="17" max="17" width="24" hidden="0" customWidth="1"/>
    <x:col min="18" max="18" width="24" hidden="0" customWidth="1"/>
    <x:col min="19" max="19" width="24" hidden="0" customWidth="1"/>
    <x:col min="20" max="20" width="46" hidden="0" customWidth="1"/>
  </x:cols>
  <x:sheetData>
    <x:row r="1" ht="36" customHeight="1">
      <x:c r="A1" s="6" t="str">
        <x:v>第一批海上无人补给/作战平台数据库｜演习/实战与能力证据链较完整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 ht="28" customHeight="1">
      <x:c r="A2" s="16" t="str">
        <x:v>国家/地区</x:v>
      </x:c>
      <x:c r="B2" s="16" t="str">
        <x:v>平台</x:v>
      </x:c>
      <x:c r="C2" s="16" t="str">
        <x:v>标签</x:v>
      </x:c>
      <x:c r="D2" s="16" t="str">
        <x:v>平台类型/定位</x:v>
      </x:c>
      <x:c r="E2" s="16" t="str">
        <x:v>可携带补给/武器载荷</x:v>
      </x:c>
      <x:c r="F2" s="16" t="str">
        <x:v>公开性能</x:v>
      </x:c>
      <x:c r="G2" s="16"/>
      <x:c r="H2" s="16"/>
      <x:c r="I2" s="16"/>
      <x:c r="J2" s="16"/>
      <x:c r="K2" s="16"/>
      <x:c r="L2" s="16"/>
      <x:c r="M2" s="16"/>
      <x:c r="N2" s="16" t="str">
        <x:v>演习/实战证据</x:v>
      </x:c>
      <x:c r="O2" s="16" t="str">
        <x:v>操控方式与人员参与</x:v>
      </x:c>
      <x:c r="P2" s="16" t="str">
        <x:v>证据级别</x:v>
      </x:c>
      <x:c r="Q2" s="16" t="str">
        <x:v>数据来源（点击打开原文）</x:v>
      </x:c>
      <x:c r="R2" s="16"/>
      <x:c r="S2" s="16"/>
      <x:c r="T2" s="16" t="str">
        <x:v>核验备注</x:v>
      </x:c>
    </x:row>
    <x:row r="3" ht="28" customHeight="1">
      <x:c r="A3" s="26"/>
      <x:c r="B3" s="26"/>
      <x:c r="C3" s="26"/>
      <x:c r="D3" s="26"/>
      <x:c r="E3" s="26"/>
      <x:c r="F3" s="26" t="str">
        <x:v>长度</x:v>
      </x:c>
      <x:c r="G3" s="26" t="str">
        <x:v>宽度/吃水</x:v>
      </x:c>
      <x:c r="H3" s="26" t="str">
        <x:v>重量/排水量</x:v>
      </x:c>
      <x:c r="I3" s="26" t="str">
        <x:v>有效载荷</x:v>
      </x:c>
      <x:c r="J3" s="26" t="str">
        <x:v>速度</x:v>
      </x:c>
      <x:c r="K3" s="26" t="str">
        <x:v>航程</x:v>
      </x:c>
      <x:c r="L3" s="26" t="str">
        <x:v>续航</x:v>
      </x:c>
      <x:c r="M3" s="26" t="str">
        <x:v>动力/海况</x:v>
      </x:c>
      <x:c r="N3" s="26"/>
      <x:c r="O3" s="26"/>
      <x:c r="P3" s="26"/>
      <x:c r="Q3" s="26" t="str">
        <x:v>性能来源</x:v>
      </x:c>
      <x:c r="R3" s="26" t="str">
        <x:v>演习/实战来源</x:v>
      </x:c>
      <x:c r="S3" s="26" t="str">
        <x:v>操控/任务来源</x:v>
      </x:c>
      <x:c r="T3" s="26"/>
    </x:row>
    <x:row r="4" ht="78" customHeight="1">
      <x:c r="A4" s="36" t="str">
        <x:v>美国</x:v>
      </x:c>
      <x:c r="B4" s="36" t="str">
        <x:v>ALPV / Sea Specter</x:v>
      </x:c>
      <x:c r="C4" s="43" t="str">
        <x:v>L</x:v>
      </x:c>
      <x:c r="D4" s="36" t="str">
        <x:v>专用半潜式无人补给USV</x:v>
      </x:c>
      <x:c r="E4" s="36" t="str">
        <x:v>食品/水、燃料、弹药、医疗物资、维修件及其他装备；MEU演练中装载联合模块化联运箱并实施海上补给</x:v>
      </x:c>
      <x:c r="F4" s="36" t="str">
        <x:v>19.75 m（65 ft）</x:v>
      </x:c>
      <x:c r="G4" s="36" t="str">
        <x:v>未公开</x:v>
      </x:c>
      <x:c r="H4" s="36" t="str">
        <x:v>未公开</x:v>
      </x:c>
      <x:c r="I4" s="36" t="str">
        <x:v>2,000–4,627 kg</x:v>
      </x:c>
      <x:c r="J4" s="36" t="str">
        <x:v>巡航约 8 kn</x:v>
      </x:c>
      <x:c r="K4" s="36" t="str">
        <x:v>最高 2,200 nmi</x:v>
      </x:c>
      <x:c r="L4" s="36" t="str">
        <x:v>未公开</x:v>
      </x:c>
      <x:c r="M4" s="36" t="str">
        <x:v>230 hp Cummins 柴油机；半潜式艇体</x:v>
      </x:c>
      <x:c r="N4" s="36" t="str">
        <x:v>Resolute Dragon 2025测试；31st MEU Exercise 2025中实际开展海上补给演练</x:v>
      </x:c>
      <x:c r="O4" s="36" t="str">
        <x:v>Mission Planner远程控制；视距内可用实体控制系统；陆战队员参与装载、检查、港口协调及安全保障</x:v>
      </x:c>
      <x:c r="P4" s="51" t="str">
        <x:v>E3</x:v>
      </x:c>
      <x:c r="Q4" s="90" t="e">
        <x:f>HYPERLINK("https://sea-machines.com/sea-machines-provides-autonomy-for-u-s-marine-corps-autonomous-low-profile-vessel-alpv-program/","Sea Machines｜性能原文")</x:f>
        <x:v>HYPERLINK is not implemented. linkLocation=https://sea-machines.com/sea-machines-provides-autonomy-for-u-s-marine-corps-autonomous-low-profile-vessel-alpv-program/, friendlyName=Sea Machines｜性能原文</x:v>
      </x:c>
      <x:c r="R4" s="90" t="e">
        <x:f>HYPERLINK("https://www.dvidshub.net/video/990405/31st-meu-usv-and-e-crrc-resupply-drills","DVIDS｜MEU补给演练")</x:f>
        <x:v>HYPERLINK is not implemented. linkLocation=https://www.dvidshub.net/video/990405/31st-meu-usv-and-e-crrc-resupply-drills, friendlyName=DVIDS｜MEU补给演练</x:v>
      </x:c>
      <x:c r="S4" s="90" t="e">
        <x:f>HYPERLINK("https://www.iiimef.marines.mil/Media-Room/News/Article/Article/4087848/12th-llb-marines-train-with-alpv-enhance-autonomous-logistics-capabilities/","USMC｜操作训练原文")</x:f>
        <x:v>HYPERLINK is not implemented. linkLocation=https://www.iiimef.marines.mil/Media-Room/News/Article/Article/4087848/12th-llb-marines-train-with-alpv-enhance-autonomous-logistics-capabilities/, friendlyName=USMC｜操作训练原文</x:v>
      </x:c>
      <x:c r="T4" s="36" t="str">
        <x:v>载荷种类来自USMC训练报道；性能来自Sea Machines。不同来源曾出现约2,000–5,000 kg等口径，表内保留Sea Machines公开范围。</x:v>
      </x:c>
    </x:row>
    <x:row r="5" ht="78" customHeight="1">
      <x:c r="A5" s="38" t="str">
        <x:v>美国</x:v>
      </x:c>
      <x:c r="B5" s="38" t="str">
        <x:v>Autonomous Littoral Connector（自主化 LCM-8）</x:v>
      </x:c>
      <x:c r="C5" s="43" t="str">
        <x:v>L</x:v>
      </x:c>
      <x:c r="D5" s="38" t="str">
        <x:v>重型船—岸自主运输/登陆接驳平台</x:v>
      </x:c>
      <x:c r="E5" s="38" t="str">
        <x:v>人员、车辆、补给及作战装备；DEFENDER-Europe 21中实际从MSC运输船自主运送一批货物至码头</x:v>
      </x:c>
      <x:c r="F5" s="38" t="str">
        <x:v>22.5 m（73.7 ft）</x:v>
      </x:c>
      <x:c r="G5" s="38" t="str">
        <x:v>6.4 m（21 ft）</x:v>
      </x:c>
      <x:c r="H5" s="38" t="str">
        <x:v>满载约 116 t</x:v>
      </x:c>
      <x:c r="I5" s="38" t="str">
        <x:v>60 short tons（约54.4 t）</x:v>
      </x:c>
      <x:c r="J5" s="38" t="str">
        <x:v>约 10 kn</x:v>
      </x:c>
      <x:c r="K5" s="38" t="str">
        <x:v>400 nmi @ 9 kn</x:v>
      </x:c>
      <x:c r="L5" s="38" t="str">
        <x:v>未公开</x:v>
      </x:c>
      <x:c r="M5" s="38" t="str">
        <x:v>2× Detroit 12V-71 柴油机；双轴</x:v>
      </x:c>
      <x:c r="N5" s="38" t="str">
        <x:v>DEFENDER-Europe 21 / JLOTS：自主靠滩、远程系泊，并自主完成从MSC运输船到码头的载货运输</x:v>
      </x:c>
      <x:c r="O5" s="38" t="str">
        <x:v>演习指挥帐篷内任务控制系统监视并下达任务；水兵远程操纵系泊；自主航行与人工遥控分阶段配合</x:v>
      </x:c>
      <x:c r="P5" s="51" t="str">
        <x:v>E3</x:v>
      </x:c>
      <x:c r="Q5" s="91" t="e">
        <x:f>HYPERLINK("https://www.navy.mil/DesktopModules/ArticleCS/Print.aspx?Article=2171588&amp;ModuleId=724&amp;PortalId=1","US Navy｜LCM-8性能")</x:f>
        <x:v>HYPERLINK is not implemented. linkLocation=https://www.navy.mil/DesktopModules/ArticleCS/Print.aspx?Article=2171588&amp;ModuleId=724&amp;PortalId=1, friendlyName=US Navy｜LCM-8性能</x:v>
      </x:c>
      <x:c r="R5" s="91" t="e">
        <x:f>HYPERLINK("https://www.leidos.com/insights/leidos-demonstrates-autonomous-naval-capabilities-defender-europe-21","Leidos｜DEFENDER-Europe 21")</x:f>
        <x:v>HYPERLINK is not implemented. linkLocation=https://www.leidos.com/insights/leidos-demonstrates-autonomous-naval-capabilities-defender-europe-21, friendlyName=Leidos｜DEFENDER-Europe 21</x:v>
      </x:c>
      <x:c r="S5" s="91" t="e">
        <x:f>HYPERLINK("https://www.leidos.com/insights/leidos-demonstrates-autonomous-naval-capabilities-defender-europe-21","Leidos｜操控流程")</x:f>
        <x:v>HYPERLINK is not implemented. linkLocation=https://www.leidos.com/insights/leidos-demonstrates-autonomous-naval-capabilities-defender-europe-21, friendlyName=Leidos｜操控流程</x:v>
      </x:c>
      <x:c r="T5" s="38" t="str">
        <x:v>公开性能为LCM-8基础艇数据；ALC是其自主化改装项目，并非所有LCM-8均无人化。</x:v>
      </x:c>
    </x:row>
    <x:row r="6" ht="78" customHeight="1">
      <x:c r="A6" s="36" t="str">
        <x:v>美国</x:v>
      </x:c>
      <x:c r="B6" s="36" t="str">
        <x:v>MANTAS T12</x:v>
      </x:c>
      <x:c r="C6" s="43" t="str">
        <x:v>L</x:v>
      </x:c>
      <x:c r="D6" s="36" t="str">
        <x:v>小型无人船—岸补给艇</x:v>
      </x:c>
      <x:c r="E6" s="36" t="str">
        <x:v>Valiant Shield中实际携带约120 lb（约54 kg）货物实施船—岸补给；厂商当前最大载荷140 lb</x:v>
      </x:c>
      <x:c r="F6" s="36" t="str">
        <x:v>3.6 m（12 ft）</x:v>
      </x:c>
      <x:c r="G6" s="36" t="str">
        <x:v>未公开</x:v>
      </x:c>
      <x:c r="H6" s="36" t="str">
        <x:v>118 kg（艇重）</x:v>
      </x:c>
      <x:c r="I6" s="36" t="str">
        <x:v>64 kg（140 lb）</x:v>
      </x:c>
      <x:c r="J6" s="36" t="str">
        <x:v>30+ kn（冲刺）</x:v>
      </x:c>
      <x:c r="K6" s="36" t="str">
        <x:v>未公开</x:v>
      </x:c>
      <x:c r="L6" s="36" t="str">
        <x:v>未公开</x:v>
      </x:c>
      <x:c r="M6" s="36" t="str">
        <x:v>全电动</x:v>
      </x:c>
      <x:c r="N6" s="36" t="str">
        <x:v>Valiant Shield：用于ship-to-shore logistics sustainment，实际为登陆部队运送120 lb货物</x:v>
      </x:c>
      <x:c r="O6" s="36" t="str">
        <x:v>ONR称其为自主运行USV，可执行预编程物流补给；MARTAC现页列全自主/半自主/人工模式</x:v>
      </x:c>
      <x:c r="P6" s="51" t="str">
        <x:v>E3</x:v>
      </x:c>
      <x:c r="Q6" s="90" t="e">
        <x:f>HYPERLINK("https://martacsystems.com/proven-products/mantas-t12/","MARTAC｜T12性能")</x:f>
        <x:v>HYPERLINK is not implemented. linkLocation=https://martacsystems.com/proven-products/mantas-t12/, friendlyName=MARTAC｜T12性能</x:v>
      </x:c>
      <x:c r="R6" s="90" t="e">
        <x:f>HYPERLINK("https://www.onr.navy.mil/media/document/future-force-vol-6-no-3-2020","ONR｜Valiant Shield补给")</x:f>
        <x:v>HYPERLINK is not implemented. linkLocation=https://www.onr.navy.mil/media/document/future-force-vol-6-no-3-2020, friendlyName=ONR｜Valiant Shield补给</x:v>
      </x:c>
      <x:c r="S6" s="90" t="e">
        <x:f>HYPERLINK("https://martacsystems.com/proven-products/mantas-t12/","MARTAC｜自主模式")</x:f>
        <x:v>HYPERLINK is not implemented. linkLocation=https://martacsystems.com/proven-products/mantas-t12/, friendlyName=MARTAC｜自主模式</x:v>
      </x:c>
      <x:c r="T6" s="36" t="str">
        <x:v>120 lb是演习实际运载；140 lb是当前厂商最大载荷，已分开记录。</x:v>
      </x:c>
    </x:row>
    <x:row r="7" ht="78" customHeight="1">
      <x:c r="A7" s="38" t="str">
        <x:v>美国</x:v>
      </x:c>
      <x:c r="B7" s="38" t="str">
        <x:v>Splash Typhoon</x:v>
      </x:c>
      <x:c r="C7" s="43" t="str">
        <x:v>L</x:v>
      </x:c>
      <x:c r="D7" s="38" t="str">
        <x:v>低成本自主/数字乘员补给USV</x:v>
      </x:c>
      <x:c r="E7" s="38" t="str">
        <x:v>RIMPAC 2026运送现场制造的关键零件、无人机部件等；厂商标称300 lb有效载荷</x:v>
      </x:c>
      <x:c r="F7" s="38" t="str">
        <x:v>11 ft（约3.35 m）</x:v>
      </x:c>
      <x:c r="G7" s="38" t="str">
        <x:v>未公开</x:v>
      </x:c>
      <x:c r="H7" s="38" t="str">
        <x:v>未公开</x:v>
      </x:c>
      <x:c r="I7" s="38" t="str">
        <x:v>300 lb（约136 kg）</x:v>
      </x:c>
      <x:c r="J7" s="38" t="str">
        <x:v>50 kn 级（厂商公开）</x:v>
      </x:c>
      <x:c r="K7" s="38" t="str">
        <x:v>约 800 nmi（厂商公开）</x:v>
      </x:c>
      <x:c r="L7" s="38" t="str">
        <x:v>未公开</x:v>
      </x:c>
      <x:c r="M7" s="38" t="str">
        <x:v>未公开</x:v>
      </x:c>
      <x:c r="N7" s="38" t="str">
        <x:v>RIMPAC 2026：数字乘员水面艇向USS Essex等舰艇实施自主补给，完成关键零件/部件运输</x:v>
      </x:c>
      <x:c r="O7" s="38" t="str">
        <x:v>NPS记录任务可完全远程执行；演示中人员负责装货、舰岸协调、布放/回收；Typhoon可自主航行并进入舰艇坞舱</x:v>
      </x:c>
      <x:c r="P7" s="51" t="str">
        <x:v>E3</x:v>
      </x:c>
      <x:c r="Q7" s="91" t="e">
        <x:f>HYPERLINK("https://www.linkedin.com/company/splashindustries","Splash Industries｜Typhoon参数")</x:f>
        <x:v>HYPERLINK is not implemented. linkLocation=https://www.linkedin.com/company/splashindustries, friendlyName=Splash Industries｜Typhoon参数</x:v>
      </x:c>
      <x:c r="R7" s="91" t="e">
        <x:f>HYPERLINK("https://nps.edu/-/camre-fleetwerx-conduct-first-of-its-kind-digitally-crewed-surface-vessel-resupply-during-rimpac-2026","NPS｜RIMPAC 2026补给")</x:f>
        <x:v>HYPERLINK is not implemented. linkLocation=https://nps.edu/-/camre-fleetwerx-conduct-first-of-its-kind-digitally-crewed-surface-vessel-resupply-during-rimpac-2026, friendlyName=NPS｜RIMPAC 2026补给</x:v>
      </x:c>
      <x:c r="S7" s="91" t="e">
        <x:f>HYPERLINK("https://nps.edu/-/camre-fleetwerx-conduct-first-of-its-kind-digitally-crewed-surface-vessel-resupply-during-rimpac-2026","NPS｜人员与流程")</x:f>
        <x:v>HYPERLINK is not implemented. linkLocation=https://nps.edu/-/camre-fleetwerx-conduct-first-of-its-kind-digitally-crewed-surface-vessel-resupply-during-rimpac-2026, friendlyName=NPS｜人员与流程</x:v>
      </x:c>
      <x:c r="T7" s="38" t="str">
        <x:v>Typhoon性能目前最直接的厂商公开入口为Splash官方LinkedIn；演习流程以NPS官方报道为准。</x:v>
      </x:c>
    </x:row>
    <x:row r="8" ht="78" customHeight="1">
      <x:c r="A8" s="36" t="str">
        <x:v>美国</x:v>
      </x:c>
      <x:c r="B8" s="36" t="str">
        <x:v>Devil Ray T38</x:v>
      </x:c>
      <x:c r="C8" s="59" t="str">
        <x:v>L/W</x:v>
      </x:c>
      <x:c r="D8" s="36" t="str">
        <x:v>大载荷多任务USV；物流 + 水面打击</x:v>
      </x:c>
      <x:c r="E8" s="36" t="str">
        <x:v>Logistics、Surface Strike；可搭载LMAMS等武器/任务载荷，并可作为小型无人系统母艇</x:v>
      </x:c>
      <x:c r="F8" s="36" t="str">
        <x:v>12.2 m（39.9 ft）</x:v>
      </x:c>
      <x:c r="G8" s="36" t="str">
        <x:v>未公开</x:v>
      </x:c>
      <x:c r="H8" s="36" t="str">
        <x:v>5,216 kg（艇重）</x:v>
      </x:c>
      <x:c r="I8" s="36" t="str">
        <x:v>1,814 kg（4,000 lb）</x:v>
      </x:c>
      <x:c r="J8" s="36" t="str">
        <x:v>50+ kn（冲刺）</x:v>
      </x:c>
      <x:c r="K8" s="36" t="str">
        <x:v>未给固定公开航程</x:v>
      </x:c>
      <x:c r="L8" s="36" t="str">
        <x:v>公开完成192 h连续自主任务</x:v>
      </x:c>
      <x:c r="M8" s="36" t="str">
        <x:v>舷内柴油机（可选汽油）</x:v>
      </x:c>
      <x:c r="N8" s="36" t="str">
        <x:v>Digital Talon 2023/2.0：搭载Lethal Miniature Aerial Missile System，多次实弹命中模拟目标</x:v>
      </x:c>
      <x:c r="O8" s="36" t="str">
        <x:v>具备全自主、LOS/SATCOM等数据链；Digital Talon中由岸上TF-59 Robotics Operations Center人员作出交战决定</x:v>
      </x:c>
      <x:c r="P8" s="51" t="str">
        <x:v>E3</x:v>
      </x:c>
      <x:c r="Q8" s="90" t="e">
        <x:f>HYPERLINK("https://martacsystems.com/proven-products/devil-ray-t38/","MARTAC｜T38性能")</x:f>
        <x:v>HYPERLINK is not implemented. linkLocation=https://martacsystems.com/proven-products/devil-ray-t38/, friendlyName=MARTAC｜T38性能</x:v>
      </x:c>
      <x:c r="R8" s="90" t="e">
        <x:f>HYPERLINK("https://www.navy.mil/DesktopModules/ArticleCS/Print.aspx?Article=3576850&amp;ModuleId=523&amp;PortalId=1","US Navy｜Digital Talon实弹")</x:f>
        <x:v>HYPERLINK is not implemented. linkLocation=https://www.navy.mil/DesktopModules/ArticleCS/Print.aspx?Article=3576850&amp;ModuleId=523&amp;PortalId=1, friendlyName=US Navy｜Digital Talon实弹</x:v>
      </x:c>
      <x:c r="S8" s="90" t="e">
        <x:f>HYPERLINK("https://www.cusnc.navy.mil/Media/News/Display/Article/3600543/littoral-combat-ship-unmanned-systems-pair-up-to-advance-lethality-in-the-middl/","NAVCENT｜人工交战决策")</x:f>
        <x:v>HYPERLINK is not implemented. linkLocation=https://www.cusnc.navy.mil/Media/News/Display/Article/3600543/littoral-combat-ship-unmanned-systems-pair-up-to-advance-lethality-in-the-middl/, friendlyName=NAVCENT｜人工交战决策</x:v>
      </x:c>
      <x:c r="T8" s="36" t="str">
        <x:v>厂商现页未给统一航程，但公开了192小时连续自主任务记录，因此将续航与航程分列。</x:v>
      </x:c>
    </x:row>
    <x:row r="9" ht="78" customHeight="1">
      <x:c r="A9" s="38" t="str">
        <x:v>美国</x:v>
      </x:c>
      <x:c r="B9" s="38" t="str">
        <x:v>Textron CUSV / MCM USV</x:v>
      </x:c>
      <x:c r="C9" s="59" t="str">
        <x:v>L/W</x:v>
      </x:c>
      <x:c r="D9" s="38" t="str">
        <x:v>大载荷模块化USV；任务甲板 + 制导弹药</x:v>
      </x:c>
      <x:c r="E9" s="38" t="str">
        <x:v>总有效载荷8,000 lb；RIMPAC 2024实际搭载并发射Poniard低成本制导火箭</x:v>
      </x:c>
      <x:c r="F9" s="38" t="str">
        <x:v>39 ft（约11.9 m）</x:v>
      </x:c>
      <x:c r="G9" s="38" t="str">
        <x:v>11 ft（约3.35 m）</x:v>
      </x:c>
      <x:c r="H9" s="38" t="str">
        <x:v>27,000 lb（约12.25 t）</x:v>
      </x:c>
      <x:c r="I9" s="38" t="str">
        <x:v>8,000 lb（约3,629 kg）</x:v>
      </x:c>
      <x:c r="J9" s="38" t="str">
        <x:v>35 kn</x:v>
      </x:c>
      <x:c r="K9" s="38" t="str">
        <x:v>1,000+ nmi @ 10 kn</x:v>
      </x:c>
      <x:c r="L9" s="38" t="str">
        <x:v>Loiter约1周</x:v>
      </x:c>
      <x:c r="M9" s="38" t="str">
        <x:v>柴油；燃油975 gal；Sea State 4运行 / 5生存</x:v>
      </x:c>
      <x:c r="N9" s="38" t="str">
        <x:v>RIMPAC 2024：从ROKS Cheon Ja Bong布放，发射多枚Poniard制导火箭并命中目标</x:v>
      </x:c>
      <x:c r="O9" s="38" t="str">
        <x:v>支持LOS/BLOS数据链；可通过坡道、单点吊机或吊带布放；开放式任务载荷甲板</x:v>
      </x:c>
      <x:c r="P9" s="51" t="str">
        <x:v>E3</x:v>
      </x:c>
      <x:c r="Q9" s="91" t="e">
        <x:f>HYPERLINK("https://www.textronsystems.com/products/cusv","Textron｜CUSV性能")</x:f>
        <x:v>HYPERLINK is not implemented. linkLocation=https://www.textronsystems.com/products/cusv, friendlyName=Textron｜CUSV性能</x:v>
      </x:c>
      <x:c r="R9" s="91" t="e">
        <x:f>HYPERLINK("https://www.navsea.navy.mil/Media/News/Article/3846077/us-navy-conducts-successful-live-fire-demonstration-at-rimpac-2024/","NAVSEA｜RIMPAC 2024实弹")</x:f>
        <x:v>HYPERLINK is not implemented. linkLocation=https://www.navsea.navy.mil/Media/News/Article/3846077/us-navy-conducts-successful-live-fire-demonstration-at-rimpac-2024/, friendlyName=NAVSEA｜RIMPAC 2024实弹</x:v>
      </x:c>
      <x:c r="S9" s="91" t="e">
        <x:f>HYPERLINK("https://www.textronsystems.com/products/cusv","Textron｜数据链/布放")</x:f>
        <x:v>HYPERLINK is not implemented. linkLocation=https://www.textronsystems.com/products/cusv, friendlyName=Textron｜数据链/布放</x:v>
      </x:c>
      <x:c r="T9" s="38" t="str">
        <x:v>“L/W”表示平台具有大载荷运输空间且已验证武器载荷；公开资料未证明RIMPAC 2024同时执行补给。</x:v>
      </x:c>
    </x:row>
    <x:row r="10" ht="78" customHeight="1">
      <x:c r="A10" s="36" t="str">
        <x:v>土耳其</x:v>
      </x:c>
      <x:c r="B10" s="36" t="str">
        <x:v>ULAQ-12 ASuW</x:v>
      </x:c>
      <x:c r="C10" s="67" t="str">
        <x:v>W</x:v>
      </x:c>
      <x:c r="D10" s="36" t="str">
        <x:v>武装无人水面作战艇</x:v>
      </x:c>
      <x:c r="E10" s="36" t="str">
        <x:v>3 t任务载荷；12.7 mm遥控武器站；CİRİT/L-UMTAS等导弹效应器</x:v>
      </x:c>
      <x:c r="F10" s="36" t="str">
        <x:v>12 m</x:v>
      </x:c>
      <x:c r="G10" s="36" t="str">
        <x:v>3.74 m；吃水0.85 m</x:v>
      </x:c>
      <x:c r="H10" s="36" t="str">
        <x:v>未公开</x:v>
      </x:c>
      <x:c r="I10" s="36" t="str">
        <x:v>3 t</x:v>
      </x:c>
      <x:c r="J10" s="36" t="str">
        <x:v>35 kn</x:v>
      </x:c>
      <x:c r="K10" s="36" t="str">
        <x:v>最高 800 nmi</x:v>
      </x:c>
      <x:c r="L10" s="36" t="str">
        <x:v>未公开</x:v>
      </x:c>
      <x:c r="M10" s="36" t="str">
        <x:v>双柴油机 + 喷水推进；Sea State 5</x:v>
      </x:c>
      <x:c r="N10" s="36" t="str">
        <x:v>DENİZKURDU-2021（Sea Wolf 2021）：携带战斗部的CİRİT激光制导导弹实弹命中目标</x:v>
      </x:c>
      <x:c r="O10" s="36" t="str">
        <x:v>可由岸基或母舰Portable Control Station控制；LOS/BLOS；远程操作与多级自主航行</x:v>
      </x:c>
      <x:c r="P10" s="51" t="str">
        <x:v>E3</x:v>
      </x:c>
      <x:c r="Q10" s="90" t="e">
        <x:f>HYPERLINK("https://www.ulaq.global/ulaq-12-asuw.php","ULAQ｜官方性能")</x:f>
        <x:v>HYPERLINK is not implemented. linkLocation=https://www.ulaq.global/ulaq-12-asuw.php, friendlyName=ULAQ｜官方性能</x:v>
      </x:c>
      <x:c r="R10" s="90" t="e">
        <x:f>HYPERLINK("https://www.ssb.gov.tr/haber/ulaq-hedefi-basariyla-vurdu-7lrCjD","土耳其SSB｜Sea Wolf实弹")</x:f>
        <x:v>HYPERLINK is not implemented. linkLocation=https://www.ssb.gov.tr/haber/ulaq-hedefi-basariyla-vurdu-7lrCjD, friendlyName=土耳其SSB｜Sea Wolf实弹</x:v>
      </x:c>
      <x:c r="S10" s="90" t="e">
        <x:f>HYPERLINK("https://www.ulaq.global/ulaq-12-asuw.php","ULAQ｜控制与通信")</x:f>
        <x:v>HYPERLINK is not implemented. linkLocation=https://www.ulaq.global/ulaq-12-asuw.php, friendlyName=ULAQ｜控制与通信</x:v>
      </x:c>
      <x:c r="T10" s="36" t="str">
        <x:v>现行ULAQ-12 ASuW性能来自厂商当前配置；2021实弹所用早期ULAQ配置与现行版本并非所有参数完全一致。</x:v>
      </x:c>
    </x:row>
    <x:row r="11" ht="78" customHeight="1">
      <x:c r="A11" s="38" t="str">
        <x:v>乌克兰</x:v>
      </x:c>
      <x:c r="B11" s="38" t="str">
        <x:v>Sea Baby（新一代）</x:v>
      </x:c>
      <x:c r="C11" s="67" t="str">
        <x:v>W</x:v>
      </x:c>
      <x:c r="D11" s="38" t="str">
        <x:v>实战型海上无人攻击/武器载荷平台</x:v>
      </x:c>
      <x:c r="E11" s="38" t="str">
        <x:v>可运送爆炸物；公开展示一型装陀螺稳定机枪，另一型装10管“Grad”火箭齐射系统</x:v>
      </x:c>
      <x:c r="F11" s="38" t="str">
        <x:v>未公开</x:v>
      </x:c>
      <x:c r="G11" s="38" t="str">
        <x:v>未公开</x:v>
      </x:c>
      <x:c r="H11" s="38" t="str">
        <x:v>未公开</x:v>
      </x:c>
      <x:c r="I11" s="38" t="str">
        <x:v>最高 2,000 kg</x:v>
      </x:c>
      <x:c r="J11" s="38" t="str">
        <x:v>未在该官方页面公开</x:v>
      </x:c>
      <x:c r="K11" s="38" t="str">
        <x:v>&gt;1,500 km</x:v>
      </x:c>
      <x:c r="L11" s="38" t="str">
        <x:v>未公开</x:v>
      </x:c>
      <x:c r="M11" s="38" t="str">
        <x:v>加强型发动机；新式导航系统</x:v>
      </x:c>
      <x:c r="N11" s="38" t="str">
        <x:v>SBU称Sea Baby已在黑海多次实战使用，并参与2025年第三次克里米亚大桥打击；新一代平台已在成功任务中测试</x:v>
      </x:c>
      <x:c r="O11" s="38" t="str">
        <x:v>SBU公开确认采用更新导航系统；具体遥控/自主比例及人员编组未公开</x:v>
      </x:c>
      <x:c r="P11" s="75" t="str">
        <x:v>E5</x:v>
      </x:c>
      <x:c r="Q11" s="91" t="e">
        <x:f>HYPERLINK("https://ssu.gov.ua/novyny/sbu-prodemonstruvala-nove-pokolinnia-lehendarnykh-morskykh-droniv-sea-baby-video","SBU｜新一代Sea Baby")</x:f>
        <x:v>HYPERLINK is not implemented. linkLocation=https://ssu.gov.ua/novyny/sbu-prodemonstruvala-nove-pokolinnia-lehendarnykh-morskykh-droniv-sea-baby-video, friendlyName=SBU｜新一代Sea Baby</x:v>
      </x:c>
      <x:c r="R11" s="91" t="e">
        <x:f>HYPERLINK("https://ssu.gov.ua/novyny/sbu-prodemonstruvala-nove-pokolinnia-lehendarnykh-morskykh-droniv-sea-baby-video","SBU｜实战原文")</x:f>
        <x:v>HYPERLINK is not implemented. linkLocation=https://ssu.gov.ua/novyny/sbu-prodemonstruvala-nove-pokolinnia-lehendarnykh-morskykh-droniv-sea-baby-video, friendlyName=SBU｜实战原文</x:v>
      </x:c>
      <x:c r="S11" s="91" t="e">
        <x:f>HYPERLINK("https://ssu.gov.ua/novyny/sbu-prodemonstruvala-nove-pokolinnia-lehendarnykh-morskykh-droniv-sea-baby-video","SBU｜平台说明")</x:f>
        <x:v>HYPERLINK is not implemented. linkLocation=https://ssu.gov.ua/novyny/sbu-prodemonstruvala-nove-pokolinnia-lehendarnykh-morskykh-droniv-sea-baby-video, friendlyName=SBU｜平台说明</x:v>
      </x:c>
      <x:c r="T11" s="38" t="str">
        <x:v>实战效果和损伤结果主要为乌方官方表述；表内只记录其官方公开性能与已宣称使用事件。</x:v>
      </x:c>
    </x:row>
    <x:row r="12" ht="78" customHeight="1">
      <x:c r="A12" s="36" t="str">
        <x:v>乌克兰</x:v>
      </x:c>
      <x:c r="B12" s="36" t="str">
        <x:v>MAGURA V5</x:v>
      </x:c>
      <x:c r="C12" s="67" t="str">
        <x:v>W</x:v>
      </x:c>
      <x:c r="D12" s="36" t="str">
        <x:v>海上攻击无人艇</x:v>
      </x:c>
      <x:c r="E12" s="36" t="str">
        <x:v>约250 kg战斗载荷/有效载荷，用于对舰攻击</x:v>
      </x:c>
      <x:c r="F12" s="36" t="str">
        <x:v>5.5 m</x:v>
      </x:c>
      <x:c r="G12" s="36" t="str">
        <x:v>未公开</x:v>
      </x:c>
      <x:c r="H12" s="36" t="str">
        <x:v>未公开</x:v>
      </x:c>
      <x:c r="I12" s="36" t="str">
        <x:v>250 kg</x:v>
      </x:c>
      <x:c r="J12" s="36" t="str">
        <x:v>&gt;80 km/h（约43+ kn）</x:v>
      </x:c>
      <x:c r="K12" s="36" t="str">
        <x:v>&gt;800 km</x:v>
      </x:c>
      <x:c r="L12" s="36" t="str">
        <x:v>未公开</x:v>
      </x:c>
      <x:c r="M12" s="36" t="str">
        <x:v>未公开</x:v>
      </x:c>
      <x:c r="N12" s="36" t="str">
        <x:v>乌克兰GUR公开确认其在黑海实战中用于攻击俄方舰船</x:v>
      </x:c>
      <x:c r="O12" s="36" t="str">
        <x:v>远程操控为核心；官方公开材料未披露完整通信链、控制站与人员编组</x:v>
      </x:c>
      <x:c r="P12" s="75" t="str">
        <x:v>E5</x:v>
      </x:c>
      <x:c r="Q12" s="90" t="e">
        <x:f>HYPERLINK("https://gur.gov.ua/en/content/my-prohresuiemo-u-rozrobkakh-unikalnoi-zbroi-rozvidnyk-trynadtsiatyi","乌克兰GUR｜MAGURA V5性能")</x:f>
        <x:v>HYPERLINK is not implemented. linkLocation=https://gur.gov.ua/en/content/my-prohresuiemo-u-rozrobkakh-unikalnoi-zbroi-rozvidnyk-trynadtsiatyi, friendlyName=乌克兰GUR｜MAGURA V5性能</x:v>
      </x:c>
      <x:c r="R12" s="90" t="e">
        <x:f>HYPERLINK("https://gur.gov.ua/content/18-urazhenykh-suden-rf-za-pivtora-roky-iak-diie-ukrainskyi-udarnyi-dron-magura-v5.html","乌克兰GUR｜实战记录")</x:f>
        <x:v>HYPERLINK is not implemented. linkLocation=https://gur.gov.ua/content/18-urazhenykh-suden-rf-za-pivtora-roky-iak-diie-ukrainskyi-udarnyi-dron-magura-v5.html, friendlyName=乌克兰GUR｜实战记录</x:v>
      </x:c>
      <x:c r="S12" s="90" t="e">
        <x:f>HYPERLINK("https://gur.gov.ua/en/content/my-prohresuiemo-u-rozrobkakh-unikalnoi-zbroi-rozvidnyk-trynadtsiatyi","乌克兰GUR｜平台说明")</x:f>
        <x:v>HYPERLINK is not implemented. linkLocation=https://gur.gov.ua/en/content/my-prohresuiemo-u-rozrobkakh-unikalnoi-zbroi-rozvidnyk-trynadtsiatyi, friendlyName=乌克兰GUR｜平台说明</x:v>
      </x:c>
      <x:c r="T12" s="36" t="str">
        <x:v>命中/毁伤数量属于乌方官方统计；平台存在实战使用证据，但单次战果需另行交叉验证。</x:v>
      </x:c>
    </x:row>
    <x:row r="13" ht="78" customHeight="1">
      <x:c r="A13" s="38" t="str">
        <x:v>美国</x:v>
      </x:c>
      <x:c r="B13" s="38" t="str">
        <x:v>Saronic Corsair</x:v>
      </x:c>
      <x:c r="C13" s="67" t="str">
        <x:v>W</x:v>
      </x:c>
      <x:c r="D13" s="38" t="str">
        <x:v>模块化自主水面艇；已出现一次性攻击配置</x:v>
      </x:c>
      <x:c r="E13" s="38" t="str">
        <x:v>1,000 lb模块化载荷；2026年实战中被用于一次性攻击任务</x:v>
      </x:c>
      <x:c r="F13" s="38" t="str">
        <x:v>24 ft（约7.32 m）</x:v>
      </x:c>
      <x:c r="G13" s="38" t="str">
        <x:v>未公开</x:v>
      </x:c>
      <x:c r="H13" s="38" t="str">
        <x:v>未公开</x:v>
      </x:c>
      <x:c r="I13" s="38" t="str">
        <x:v>1,000 lb（约454 kg）</x:v>
      </x:c>
      <x:c r="J13" s="38" t="str">
        <x:v>35+ kn</x:v>
      </x:c>
      <x:c r="K13" s="38" t="str">
        <x:v>1,000+ nmi</x:v>
      </x:c>
      <x:c r="L13" s="38" t="str">
        <x:v>未公开</x:v>
      </x:c>
      <x:c r="M13" s="38" t="str">
        <x:v>未公开</x:v>
      </x:c>
      <x:c r="N13" s="38" t="str">
        <x:v>CENTCOM：2026-07-12三艘Corsair攻击伊朗Bandar Abbas海军基地舰船维修设施，为美军首次公开海上无人艇实战攻击</x:v>
      </x:c>
      <x:c r="O13" s="38" t="str">
        <x:v>Saronic公开为自主水面艇；具体该次战斗任务的控制链与人员介入细节未公开</x:v>
      </x:c>
      <x:c r="P13" s="75" t="str">
        <x:v>E5</x:v>
      </x:c>
      <x:c r="Q13" s="91" t="e">
        <x:f>HYPERLINK("https://www.saronic.com/vessels","Saronic｜Corsair性能")</x:f>
        <x:v>HYPERLINK is not implemented. linkLocation=https://www.saronic.com/vessels, friendlyName=Saronic｜Corsair性能</x:v>
      </x:c>
      <x:c r="R13" s="91" t="e">
        <x:f>HYPERLINK("https://www.centcom.mil/OPERATIONS-AND-EXERCISES/EPIC-FURY/dvpTag/Iran/dvpmoduleid/41413/videoid/1014441/","CENTCOM｜2026实战视频")</x:f>
        <x:v>HYPERLINK is not implemented. linkLocation=https://www.centcom.mil/OPERATIONS-AND-EXERCISES/EPIC-FURY/dvpTag/Iran/dvpmoduleid/41413/videoid/1014441/, friendlyName=CENTCOM｜2026实战视频</x:v>
      </x:c>
      <x:c r="S13" s="91" t="e">
        <x:f>HYPERLINK("https://www.saronic.com/vessels","Saronic｜平台原文")</x:f>
        <x:v>HYPERLINK is not implemented. linkLocation=https://www.saronic.com/vessels, friendlyName=Saronic｜平台原文</x:v>
      </x:c>
      <x:c r="T13" s="38" t="str">
        <x:v>性能来自Saronic现行产品页；实战使用来自CENTCOM。具体战斗载荷构成未公开。</x:v>
      </x:c>
    </x:row>
    <x:row r="14" ht="78" customHeight="1">
      <x:c r="A14" s="36" t="str">
        <x:v>新加坡（以色列技术）</x:v>
      </x:c>
      <x:c r="B14" s="36" t="str">
        <x:v>Protector USV</x:v>
      </x:c>
      <x:c r="C14" s="67" t="str">
        <x:v>W</x:v>
      </x:c>
      <x:c r="D14" s="36" t="str">
        <x:v>遥控武装海上安全/拦截USV</x:v>
      </x:c>
      <x:c r="E14" s="36" t="str">
        <x:v>完整传感器、导航与武器套件；用于海上安全、拦截及设施保护</x:v>
      </x:c>
      <x:c r="F14" s="36" t="str">
        <x:v>9.5 m</x:v>
      </x:c>
      <x:c r="G14" s="36" t="str">
        <x:v>3.5 m</x:v>
      </x:c>
      <x:c r="H14" s="36" t="str">
        <x:v>4 t</x:v>
      </x:c>
      <x:c r="I14" s="36" t="str">
        <x:v>具体载荷重量未公开</x:v>
      </x:c>
      <x:c r="J14" s="36" t="str">
        <x:v>&gt;30 kn</x:v>
      </x:c>
      <x:c r="K14" s="36" t="str">
        <x:v>未公开</x:v>
      </x:c>
      <x:c r="L14" s="36" t="str">
        <x:v>未公开</x:v>
      </x:c>
      <x:c r="M14" s="36" t="str">
        <x:v>未公开</x:v>
      </x:c>
      <x:c r="N14" s="36" t="str">
        <x:v>新加坡海军确认其曾在北阿拉伯湾海外部署，用于海上安全与拦截任务，并支援反海盗行动</x:v>
      </x:c>
      <x:c r="O14" s="36" t="str">
        <x:v>可由岸上或海上舰艇远程控制</x:v>
      </x:c>
      <x:c r="P14" s="83" t="str">
        <x:v>E4</x:v>
      </x:c>
      <x:c r="Q14" s="90" t="e">
        <x:f>HYPERLINK("https://www.navy.gov.sg/our-forces/unmanned-naval-assets/","新加坡海军｜Protector性能")</x:f>
        <x:v>HYPERLINK is not implemented. linkLocation=https://www.navy.gov.sg/our-forces/unmanned-naval-assets/, friendlyName=新加坡海军｜Protector性能</x:v>
      </x:c>
      <x:c r="R14" s="90" t="e">
        <x:f>HYPERLINK("https://www.navy.gov.sg/our-forces/unmanned-naval-assets/","新加坡海军｜部署记录")</x:f>
        <x:v>HYPERLINK is not implemented. linkLocation=https://www.navy.gov.sg/our-forces/unmanned-naval-assets/, friendlyName=新加坡海军｜部署记录</x:v>
      </x:c>
      <x:c r="S14" s="90" t="e">
        <x:f>HYPERLINK("https://www.navy.gov.sg/our-forces/unmanned-naval-assets/","新加坡海军｜远程控制")</x:f>
        <x:v>HYPERLINK is not implemented. linkLocation=https://www.navy.gov.sg/our-forces/unmanned-naval-assets/, friendlyName=新加坡海军｜远程控制</x:v>
      </x:c>
      <x:c r="T14" s="36" t="str">
        <x:v>公开页面未给具体武器型号/有效载荷重量，因此只记录官方明确的“weapon suite”和部署任务。</x:v>
      </x:c>
    </x:row>
    <x:row r="16" ht="34" customHeight="1">
      <x:c r="A16" s="99" t="str">
        <x:v>标签说明：L = Logistics（补给/运输）；L/W = Logistics + Weapon（兼具较大物流载荷与武器/作战载荷能力）；W = Weapon/Combat Payload（以导弹、鱼雷、火箭、爆炸载荷等作战载荷为主）。</x:v>
      </x:c>
      <x:c r="B16" s="99"/>
      <x:c r="C16" s="99"/>
      <x:c r="D16" s="99"/>
      <x:c r="E16" s="99"/>
      <x:c r="F16" s="99"/>
      <x:c r="G16" s="99"/>
      <x:c r="H16" s="99"/>
      <x:c r="I16" s="99"/>
      <x:c r="J16" s="99"/>
      <x:c r="K16" s="99"/>
      <x:c r="L16" s="99"/>
      <x:c r="M16" s="99"/>
      <x:c r="N16" s="99"/>
      <x:c r="O16" s="99"/>
      <x:c r="P16" s="99"/>
      <x:c r="Q16" s="99"/>
      <x:c r="R16" s="99"/>
      <x:c r="S16" s="99"/>
      <x:c r="T16" s="99"/>
    </x:row>
    <x:row r="17" ht="34" customHeight="1">
      <x:c r="A17" s="107" t="str">
        <x:v>证据说明：E2 = 确认参演；E3 = 演习中实际执行补给/实弹等任务；E4 = 真实军事部署；E5 = 有公开实战使用证据。资料核验截至 2026-09-22；“未公开”表示本表所列直达来源中未找到可核验数值。</x:v>
      </x:c>
      <x:c r="B17" s="107"/>
      <x:c r="C17" s="107"/>
      <x:c r="D17" s="107"/>
      <x:c r="E17" s="107"/>
      <x:c r="F17" s="107"/>
      <x:c r="G17" s="107"/>
      <x:c r="H17" s="107"/>
      <x:c r="I17" s="107"/>
      <x:c r="J17" s="107"/>
      <x:c r="K17" s="107"/>
      <x:c r="L17" s="107"/>
      <x:c r="M17" s="107"/>
      <x:c r="N17" s="107"/>
      <x:c r="O17" s="107"/>
      <x:c r="P17" s="107"/>
      <x:c r="Q17" s="107"/>
      <x:c r="R17" s="107"/>
      <x:c r="S17" s="107"/>
      <x:c r="T17" s="107"/>
    </x:row>
  </x:sheetData>
  <x:mergeCells>
    <x:mergeCell ref="A1:T1"/>
    <x:mergeCell ref="A2:A3"/>
    <x:mergeCell ref="B2:B3"/>
    <x:mergeCell ref="C2:C3"/>
    <x:mergeCell ref="D2:D3"/>
    <x:mergeCell ref="E2:E3"/>
    <x:mergeCell ref="N2:N3"/>
    <x:mergeCell ref="O2:O3"/>
    <x:mergeCell ref="P2:P3"/>
    <x:mergeCell ref="T2:T3"/>
    <x:mergeCell ref="F2:M2"/>
    <x:mergeCell ref="Q2:S2"/>
    <x:mergeCell ref="A16:T16"/>
    <x:mergeCell ref="A17:T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9" hidden="0" customWidth="1"/>
    <x:col min="4" max="4" width="29" hidden="0" customWidth="1"/>
    <x:col min="5" max="5" width="42" hidden="0" customWidth="1"/>
    <x:col min="6" max="6" width="17" hidden="0" customWidth="1"/>
    <x:col min="7" max="7" width="17" hidden="0" customWidth="1"/>
    <x:col min="8" max="8" width="18" hidden="0" customWidth="1"/>
    <x:col min="9" max="9" width="19" hidden="0" customWidth="1"/>
    <x:col min="10" max="10" width="18" hidden="0" customWidth="1"/>
    <x:col min="11" max="11" width="20" hidden="0" customWidth="1"/>
    <x:col min="12" max="12" width="19" hidden="0" customWidth="1"/>
    <x:col min="13" max="13" width="30" hidden="0" customWidth="1"/>
    <x:col min="14" max="14" width="46" hidden="0" customWidth="1"/>
    <x:col min="15" max="15" width="48" hidden="0" customWidth="1"/>
    <x:col min="16" max="16" width="15" hidden="0" customWidth="1"/>
    <x:col min="17" max="17" width="24" hidden="0" customWidth="1"/>
    <x:col min="18" max="18" width="24" hidden="0" customWidth="1"/>
    <x:col min="19" max="19" width="24" hidden="0" customWidth="1"/>
    <x:col min="20" max="20" width="46" hidden="0" customWidth="1"/>
  </x:cols>
  <x:sheetData>
    <x:row r="1" ht="36" customHeight="1">
      <x:c r="A1" s="6" t="str">
        <x:v>第二批：符合“平台能力＋参演”，但武器/物流验证与演习并非完全同一次活动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 ht="28" customHeight="1">
      <x:c r="A2" s="16" t="str">
        <x:v>国家/地区</x:v>
      </x:c>
      <x:c r="B2" s="16" t="str">
        <x:v>平台</x:v>
      </x:c>
      <x:c r="C2" s="16" t="str">
        <x:v>标签</x:v>
      </x:c>
      <x:c r="D2" s="16" t="str">
        <x:v>平台类型/定位</x:v>
      </x:c>
      <x:c r="E2" s="16" t="str">
        <x:v>可携带补给/武器载荷</x:v>
      </x:c>
      <x:c r="F2" s="16" t="str">
        <x:v>公开性能</x:v>
      </x:c>
      <x:c r="G2" s="16"/>
      <x:c r="H2" s="16"/>
      <x:c r="I2" s="16"/>
      <x:c r="J2" s="16"/>
      <x:c r="K2" s="16"/>
      <x:c r="L2" s="16"/>
      <x:c r="M2" s="16"/>
      <x:c r="N2" s="16" t="str">
        <x:v>演习/实战证据</x:v>
      </x:c>
      <x:c r="O2" s="16" t="str">
        <x:v>操控方式与人员参与</x:v>
      </x:c>
      <x:c r="P2" s="16" t="str">
        <x:v>证据级别</x:v>
      </x:c>
      <x:c r="Q2" s="16" t="str">
        <x:v>数据来源（点击打开原文）</x:v>
      </x:c>
      <x:c r="R2" s="16"/>
      <x:c r="S2" s="16"/>
      <x:c r="T2" s="16" t="str">
        <x:v>核验备注</x:v>
      </x:c>
    </x:row>
    <x:row r="3" ht="28" customHeight="1">
      <x:c r="A3" s="26"/>
      <x:c r="B3" s="26"/>
      <x:c r="C3" s="26"/>
      <x:c r="D3" s="26"/>
      <x:c r="E3" s="26"/>
      <x:c r="F3" s="26" t="str">
        <x:v>长度</x:v>
      </x:c>
      <x:c r="G3" s="26" t="str">
        <x:v>宽度/吃水</x:v>
      </x:c>
      <x:c r="H3" s="26" t="str">
        <x:v>重量/排水量</x:v>
      </x:c>
      <x:c r="I3" s="26" t="str">
        <x:v>有效载荷</x:v>
      </x:c>
      <x:c r="J3" s="26" t="str">
        <x:v>速度</x:v>
      </x:c>
      <x:c r="K3" s="26" t="str">
        <x:v>航程</x:v>
      </x:c>
      <x:c r="L3" s="26" t="str">
        <x:v>续航</x:v>
      </x:c>
      <x:c r="M3" s="26" t="str">
        <x:v>动力/海况</x:v>
      </x:c>
      <x:c r="N3" s="26"/>
      <x:c r="O3" s="26"/>
      <x:c r="P3" s="26"/>
      <x:c r="Q3" s="26" t="str">
        <x:v>性能来源</x:v>
      </x:c>
      <x:c r="R3" s="26" t="str">
        <x:v>演习/实战来源</x:v>
      </x:c>
      <x:c r="S3" s="26" t="str">
        <x:v>操控/任务来源</x:v>
      </x:c>
      <x:c r="T3" s="26"/>
    </x:row>
    <x:row r="4" ht="78" customHeight="1">
      <x:c r="A4" s="36" t="str">
        <x:v>美国</x:v>
      </x:c>
      <x:c r="B4" s="36" t="str">
        <x:v>GARC（Global Autonomous Reconnaissance Craft）</x:v>
      </x:c>
      <x:c r="C4" s="67" t="str">
        <x:v>W</x:v>
      </x:c>
      <x:c r="D4" s="36" t="str">
        <x:v>小型模块化USV；ISR / strike / interdiction等</x:v>
      </x:c>
      <x:c r="E4" s="36" t="str">
        <x:v>模块化载荷；厂商称可执行strike等任务；本表参演证据来自BALTOPS 2026，非同一活动中的武器实弹验证</x:v>
      </x:c>
      <x:c r="F4" s="36" t="str">
        <x:v>16 ft（约4.88 m）</x:v>
      </x:c>
      <x:c r="G4" s="36" t="str">
        <x:v>未公开</x:v>
      </x:c>
      <x:c r="H4" s="36" t="str">
        <x:v>未公开</x:v>
      </x:c>
      <x:c r="I4" s="36" t="str">
        <x:v>1,000 lb（约454 kg）</x:v>
      </x:c>
      <x:c r="J4" s="36" t="str">
        <x:v>最高 40 kn</x:v>
      </x:c>
      <x:c r="K4" s="36" t="str">
        <x:v>官方当前公开页未给固定航程</x:v>
      </x:c>
      <x:c r="L4" s="36" t="str">
        <x:v>已累计5,000+ h舰队运行记录（非单次续航）</x:v>
      </x:c>
      <x:c r="M4" s="36" t="str">
        <x:v>200 hp发动机；厂商称在约15 ft海况中有运行经历</x:v>
      </x:c>
      <x:c r="N4" s="36" t="str">
        <x:v>BALTOPS 2026：USVDIV-32部署GARC作为对抗无人水面目标，供盟军舰艇进行反USV训练</x:v>
      </x:c>
      <x:c r="O4" s="36" t="str">
        <x:v>USVDIV-32 Robotics Warfare Specialists负责操作与维护；平台支持自主和远程运行</x:v>
      </x:c>
      <x:c r="P4" s="115" t="str">
        <x:v>E2</x:v>
      </x:c>
      <x:c r="Q4" s="90" t="e">
        <x:f>HYPERLINK("https://www.blacksea.tech/press/blog-post-title-one-c9gml","BlackSea｜GARC官方性能")</x:f>
        <x:v>HYPERLINK is not implemented. linkLocation=https://www.blacksea.tech/press/blog-post-title-one-c9gml, friendlyName=BlackSea｜GARC官方性能</x:v>
      </x:c>
      <x:c r="R4" s="90" t="e">
        <x:f>HYPERLINK("https://www.dvidshub.net/news/568108/pioneers-fleet-usvdiv-32-advances-unmanned-operations-with-nato-during-baltops-2026","DVIDS｜BALTOPS 2026")</x:f>
        <x:v>HYPERLINK is not implemented. linkLocation=https://www.dvidshub.net/news/568108/pioneers-fleet-usvdiv-32-advances-unmanned-operations-with-nato-during-baltops-2026, friendlyName=DVIDS｜BALTOPS 2026</x:v>
      </x:c>
      <x:c r="S4" s="90" t="e">
        <x:f>HYPERLINK("https://www.blacksea.tech/garc","BlackSea｜GARC产品页")</x:f>
        <x:v>HYPERLINK is not implemented. linkLocation=https://www.blacksea.tech/garc, friendlyName=BlackSea｜GARC产品页</x:v>
      </x:c>
      <x:c r="T4" s="36" t="str">
        <x:v>网上常见700/1,600 nmi航程数据，但BlackSea当前公开产品页未直接列出，本表暂不写入以保持“可直查原文”。</x:v>
      </x:c>
    </x:row>
    <x:row r="5" ht="78" customHeight="1">
      <x:c r="A5" s="38" t="str">
        <x:v>美国</x:v>
      </x:c>
      <x:c r="B5" s="38" t="str">
        <x:v>USV Ranger / Overlord</x:v>
      </x:c>
      <x:c r="C5" s="59" t="str">
        <x:v>L/W</x:v>
      </x:c>
      <x:c r="D5" s="38" t="str">
        <x:v>大型高续航可重构USV；由商业快速补给船改装</x:v>
      </x:c>
      <x:c r="E5" s="38" t="str">
        <x:v>2021年从集装箱化模块发射SM-6；平台本体为商业fast supply vessel改装，具较大甲板/可重构载荷空间</x:v>
      </x:c>
      <x:c r="F5" s="38" t="str">
        <x:v>约 194 ft（约59.1 m）</x:v>
      </x:c>
      <x:c r="G5" s="38" t="str">
        <x:v>未公开</x:v>
      </x:c>
      <x:c r="H5" s="38" t="str">
        <x:v>满载排水量约 673 t</x:v>
      </x:c>
      <x:c r="I5" s="38" t="str">
        <x:v>具体任务载荷重量未公开</x:v>
      </x:c>
      <x:c r="J5" s="38" t="str">
        <x:v>未公开</x:v>
      </x:c>
      <x:c r="K5" s="38" t="str">
        <x:v>未公开</x:v>
      </x:c>
      <x:c r="L5" s="38" t="str">
        <x:v>高续航平台；具体天数未公开</x:v>
      </x:c>
      <x:c r="M5" s="38" t="str">
        <x:v>商业补给船改装；动力细节未在Navy Fact File列出</x:v>
      </x:c>
      <x:c r="N5" s="38" t="str">
        <x:v>RIMPAC 2022、IBP 23.2、Autonomous Warrior等舰队演习中完成编队/集成试验；SM-6发射为2021年独立武器试验</x:v>
      </x:c>
      <x:c r="O5" s="38" t="str">
        <x:v>岸上Unmanned Operations Center远程指挥；早期转场时船上保留少量安全/安保人员</x:v>
      </x:c>
      <x:c r="P5" s="115" t="str">
        <x:v>E2 + 独立实弹验证</x:v>
      </x:c>
      <x:c r="Q5" s="91" t="e">
        <x:f>HYPERLINK("https://www.navy.mil/DesktopModules/ArticleCS/Print.aspx?Article=4288694&amp;ModuleId=4201&amp;PortalId=1","US Navy｜Overlord Fact File")</x:f>
        <x:v>HYPERLINK is not implemented. linkLocation=https://www.navy.mil/DesktopModules/ArticleCS/Print.aspx?Article=4288694&amp;ModuleId=4201&amp;PortalId=1, friendlyName=US Navy｜Overlord Fact File</x:v>
      </x:c>
      <x:c r="R5" s="91" t="e">
        <x:f>HYPERLINK("https://www.navy.mil/DesktopModules/ArticleCS/Print.aspx?Article=4288694&amp;ModuleId=4201&amp;PortalId=1","US Navy｜参演记录")</x:f>
        <x:v>HYPERLINK is not implemented. linkLocation=https://www.navy.mil/DesktopModules/ArticleCS/Print.aspx?Article=4288694&amp;ModuleId=4201&amp;PortalId=1, friendlyName=US Navy｜参演记录</x:v>
      </x:c>
      <x:c r="S5" s="91" t="e">
        <x:f>HYPERLINK("https://www.usni.org/magazines/proceedings/2021/october/ghost-fleet-fires-real-missile","USNI｜Ranger SM-6/操控")</x:f>
        <x:v>HYPERLINK is not implemented. linkLocation=https://www.usni.org/magazines/proceedings/2021/october/ghost-fleet-fires-real-missile, friendlyName=USNI｜Ranger SM-6/操控</x:v>
      </x:c>
      <x:c r="T5" s="38" t="str">
        <x:v>Navy页面长度字段存在排版异常，但同页括号明确给出约194 ft，因此换算为约59.1 m。武器试验与RIMPAC并非同一次活动。</x:v>
      </x:c>
    </x:row>
    <x:row r="6" ht="78" customHeight="1">
      <x:c r="A6" s="36" t="str">
        <x:v>土耳其</x:v>
      </x:c>
      <x:c r="B6" s="36" t="str">
        <x:v>MARLIN ASW 100</x:v>
      </x:c>
      <x:c r="C6" s="67" t="str">
        <x:v>W</x:v>
      </x:c>
      <x:c r="D6" s="36" t="str">
        <x:v>大型多任务ASW USV</x:v>
      </x:c>
      <x:c r="E6" s="36" t="str">
        <x:v>≥4 t模块化载荷；可选轻型鱼雷、ASW火箭、12.7 mm稳定武器站、声呐等</x:v>
      </x:c>
      <x:c r="F6" s="36" t="str">
        <x:v>15 m</x:v>
      </x:c>
      <x:c r="G6" s="36" t="str">
        <x:v>3.85 m</x:v>
      </x:c>
      <x:c r="H6" s="36" t="str">
        <x:v>21 t</x:v>
      </x:c>
      <x:c r="I6" s="36" t="str">
        <x:v>≥4 t</x:v>
      </x:c>
      <x:c r="J6" s="36" t="str">
        <x:v>≥35 kn</x:v>
      </x:c>
      <x:c r="K6" s="36" t="str">
        <x:v>未公开</x:v>
      </x:c>
      <x:c r="L6" s="36" t="str">
        <x:v>72 h</x:v>
      </x:c>
      <x:c r="M6" s="36" t="str">
        <x:v>2×600 hp柴油机</x:v>
      </x:c>
      <x:c r="N6" s="36" t="str">
        <x:v>REPMUS 22 / Dynamic Messenger 22参演；当时重点展示EW、ASW、force protection等能力，非公开鱼雷实弹活动</x:v>
      </x:c>
      <x:c r="O6" s="36" t="str">
        <x:v>任务规划、动态路径规划、昼夜自主运行；支持自主/远控；移动集装箱控制站；卫星/RF/4G通信</x:v>
      </x:c>
      <x:c r="P6" s="115" t="str">
        <x:v>E2</x:v>
      </x:c>
      <x:c r="Q6" s="90" t="e">
        <x:f>HYPERLINK("https://wwwcdn.aselsan.com/api/file/SST_MARLIN_ASW_100_ENG.pdf","ASELSAN｜MARLIN规格PDF")</x:f>
        <x:v>HYPERLINK is not implemented. linkLocation=https://wwwcdn.aselsan.com/api/file/SST_MARLIN_ASW_100_ENG.pdf, friendlyName=ASELSAN｜MARLIN规格PDF</x:v>
      </x:c>
      <x:c r="R6" s="90" t="e">
        <x:f>HYPERLINK("https://www.navalnews.com/naval-news/2022/09/marlin-usv-meet-turkiyes-latest-drone-ship/","Naval News｜REPMUS/DYMS 22")</x:f>
        <x:v>HYPERLINK is not implemented. linkLocation=https://www.navalnews.com/naval-news/2022/09/marlin-usv-meet-turkiyes-latest-drone-ship/, friendlyName=Naval News｜REPMUS/DYMS 22</x:v>
      </x:c>
      <x:c r="S6" s="90" t="e">
        <x:f>HYPERLINK("https://wwwcdn.aselsan.com/api/file/SST_MARLIN_ASW_100_ENG.pdf","ASELSAN｜自主/控制系统")</x:f>
        <x:v>HYPERLINK is not implemented. linkLocation=https://wwwcdn.aselsan.com/api/file/SST_MARLIN_ASW_100_ENG.pdf, friendlyName=ASELSAN｜自主/控制系统</x:v>
      </x:c>
      <x:c r="T6" s="36" t="str">
        <x:v>武器载荷能力来自2024版官方规格；2022演习当时实际搭载的主要是EW任务载荷，不能写成演习中已发射鱼雷。</x:v>
      </x:c>
    </x:row>
    <x:row r="7" ht="78" customHeight="1">
      <x:c r="A7" s="38" t="str">
        <x:v>以色列</x:v>
      </x:c>
      <x:c r="B7" s="38" t="str">
        <x:v>Seagull USV</x:v>
      </x:c>
      <x:c r="C7" s="67" t="str">
        <x:v>W</x:v>
      </x:c>
      <x:c r="D7" s="38" t="str">
        <x:v>多任务自主USV（MCM / ASW / EW / Maritime Security）</x:v>
      </x:c>
      <x:c r="E7" s="38" t="str">
        <x:v>12.7 mm遥控武器站；轻型鱼雷发射系统；非致命武器；模块化声呐/反水雷载荷</x:v>
      </x:c>
      <x:c r="F7" s="38" t="str">
        <x:v>12 m</x:v>
      </x:c>
      <x:c r="G7" s="38" t="str">
        <x:v>未公开</x:v>
      </x:c>
      <x:c r="H7" s="38" t="str">
        <x:v>未公开</x:v>
      </x:c>
      <x:c r="I7" s="38" t="str">
        <x:v>未公开具体重量</x:v>
      </x:c>
      <x:c r="J7" s="38" t="str">
        <x:v>未公开</x:v>
      </x:c>
      <x:c r="K7" s="38" t="str">
        <x:v>未公开</x:v>
      </x:c>
      <x:c r="L7" s="38" t="str">
        <x:v>&gt;4天（巡航状态）</x:v>
      </x:c>
      <x:c r="M7" s="38" t="str">
        <x:v>未公开</x:v>
      </x:c>
      <x:c r="N7" s="38" t="str">
        <x:v>参加英国皇家海军—以色列海军联合MCM演习；另有轻型鱼雷发射试验，两者不是同一次活动</x:v>
      </x:c>
      <x:c r="O7" s="38" t="str">
        <x:v>Mission Control Station可位于岸上、母舰或陆上车辆；LOS/SATCOM；一个MCS可控制两艘艇</x:v>
      </x:c>
      <x:c r="P7" s="115" t="str">
        <x:v>E2 + 独立武器试验</x:v>
      </x:c>
      <x:c r="Q7" s="91" t="e">
        <x:f>HYPERLINK("https://www.elbitsystems.com/unmanned/maritime/unmanned-surface-vessel/seagull-usv","Elbit｜Seagull产品页")</x:f>
        <x:v>HYPERLINK is not implemented. linkLocation=https://www.elbitsystems.com/unmanned/maritime/unmanned-surface-vessel/seagull-usv, friendlyName=Elbit｜Seagull产品页</x:v>
      </x:c>
      <x:c r="R7" s="91" t="e">
        <x:f>HYPERLINK("https://www.elbitsystems.com/news/elbit-systems-seagulltm-usv-participated-joint-exercise-between-british-royal-navy-and-israeli","Elbit｜英以联合演习")</x:f>
        <x:v>HYPERLINK is not implemented. linkLocation=https://www.elbitsystems.com/news/elbit-systems-seagulltm-usv-participated-joint-exercise-between-british-royal-navy-and-israeli, friendlyName=Elbit｜英以联合演习</x:v>
      </x:c>
      <x:c r="S7" s="91" t="e">
        <x:f>HYPERLINK("https://www.elbitsystems.com/news/elbit-systems-seagull-successfully-completes-torpedo-launch-trials","Elbit｜鱼雷试验/控制")</x:f>
        <x:v>HYPERLINK is not implemented. linkLocation=https://www.elbitsystems.com/news/elbit-systems-seagull-successfully-completes-torpedo-launch-trials, friendlyName=Elbit｜鱼雷试验/控制</x:v>
      </x:c>
      <x:c r="T7" s="38" t="str">
        <x:v>参演任务为MCM；轻型鱼雷能力由独立试验验证，因此严格放入第二批。</x:v>
      </x:c>
    </x:row>
    <x:row r="8" ht="78" customHeight="1">
      <x:c r="A8" s="36" t="str">
        <x:v>土耳其</x:v>
      </x:c>
      <x:c r="B8" s="36" t="str">
        <x:v>ALBATROS-S / Kamikaze配置</x:v>
      </x:c>
      <x:c r="C8" s="67" t="str">
        <x:v>W</x:v>
      </x:c>
      <x:c r="D8" s="36" t="str">
        <x:v>蜂群型无人水面艇 / 一次性攻击配置</x:v>
      </x:c>
      <x:c r="E8" s="36" t="str">
        <x:v>2023实弹测试中一艘搭载ROKETSAN弹药/爆炸载荷撞击目标；ALBATROS-S本体为蜂群USV</x:v>
      </x:c>
      <x:c r="F8" s="36" t="str">
        <x:v>官方当前公开页未列</x:v>
      </x:c>
      <x:c r="G8" s="36" t="str">
        <x:v>未公开</x:v>
      </x:c>
      <x:c r="H8" s="36" t="str">
        <x:v>未公开</x:v>
      </x:c>
      <x:c r="I8" s="36" t="str">
        <x:v>官方当前公开页未列</x:v>
      </x:c>
      <x:c r="J8" s="36" t="str">
        <x:v>40+ kn</x:v>
      </x:c>
      <x:c r="K8" s="36" t="str">
        <x:v>未公开</x:v>
      </x:c>
      <x:c r="L8" s="36" t="str">
        <x:v>10+ h</x:v>
      </x:c>
      <x:c r="M8" s="36" t="str">
        <x:v>未公开</x:v>
      </x:c>
      <x:c r="N8" s="36" t="str">
        <x:v>2023土耳其国防部实弹测试：8艇蜂群攻击22 m靶船，其中一艇携带弹药撞击并爆炸；属于实弹测试而非本表要求的具名大型军演</x:v>
      </x:c>
      <x:c r="O8" s="36" t="str">
        <x:v>自主航行、蜂群任务；LOS/mesh等通信（官方新版资料）；测试由海军/国防工业机构共同实施</x:v>
      </x:c>
      <x:c r="P8" s="123" t="str">
        <x:v>实弹试验（非E3）</x:v>
      </x:c>
      <x:c r="Q8" s="90" t="e">
        <x:f>HYPERLINK("https://cdn.aselsan.com/aselsanweb-prod/documents/capabilities/products/brochure/albatros-s/albatros-s-tr.pdf","ASELSAN｜ALBATROS-S规格")</x:f>
        <x:v>HYPERLINK is not implemented. linkLocation=https://cdn.aselsan.com/aselsanweb-prod/documents/capabilities/products/brochure/albatros-s/albatros-s-tr.pdf, friendlyName=ASELSAN｜ALBATROS-S规格</x:v>
      </x:c>
      <x:c r="R8" s="90" t="e">
        <x:f>HYPERLINK("https://www.msb.gov.tr/SlaytHaber/2b209bb8b67e4cacbf6517e46dd73f16","土耳其国防部｜2023实弹")</x:f>
        <x:v>HYPERLINK is not implemented. linkLocation=https://www.msb.gov.tr/SlaytHaber/2b209bb8b67e4cacbf6517e46dd73f16, friendlyName=土耳其国防部｜2023实弹</x:v>
      </x:c>
      <x:c r="S8" s="90" t="e">
        <x:f>HYPERLINK("https://cdn.aselsan.com/aselsanweb-prod/documents/capabilities/products/brochure/albatros-s/albatros-s-tr.pdf","ASELSAN｜蜂群/通信")</x:f>
        <x:v>HYPERLINK is not implemented. linkLocation=https://cdn.aselsan.com/aselsanweb-prod/documents/capabilities/products/brochure/albatros-s/albatros-s-tr.pdf, friendlyName=ASELSAN｜蜂群/通信</x:v>
      </x:c>
      <x:c r="T8" s="36" t="str">
        <x:v>旧二手资料常列尺寸/载荷，但当前官方公开规格未列，因此为保证可直接核验，本表不抄入。</x:v>
      </x:c>
    </x:row>
    <x:row r="10" ht="34" customHeight="1">
      <x:c r="A10" s="99" t="str">
        <x:v>标签说明：L = Logistics（补给/运输）；L/W = Logistics + Weapon（兼具较大物流载荷与武器/作战载荷能力）；W = Weapon/Combat Payload（以导弹、鱼雷、火箭、爆炸载荷等作战载荷为主）。</x:v>
      </x:c>
      <x:c r="B10" s="99"/>
      <x:c r="C10" s="99"/>
      <x:c r="D10" s="99"/>
      <x:c r="E10" s="99"/>
      <x:c r="F10" s="99"/>
      <x:c r="G10" s="99"/>
      <x:c r="H10" s="99"/>
      <x:c r="I10" s="99"/>
      <x:c r="J10" s="99"/>
      <x:c r="K10" s="99"/>
      <x:c r="L10" s="99"/>
      <x:c r="M10" s="99"/>
      <x:c r="N10" s="99"/>
      <x:c r="O10" s="99"/>
      <x:c r="P10" s="99"/>
      <x:c r="Q10" s="99"/>
      <x:c r="R10" s="99"/>
      <x:c r="S10" s="99"/>
      <x:c r="T10" s="99"/>
    </x:row>
    <x:row r="11" ht="34" customHeight="1">
      <x:c r="A11" s="107" t="str">
        <x:v>证据说明：E2 = 确认参演；E3 = 演习中实际执行补给/实弹等任务；E4 = 真实军事部署；E5 = 有公开实战使用证据。资料核验截至 2026-09-22；“未公开”表示本表所列直达来源中未找到可核验数值。</x:v>
      </x:c>
      <x:c r="B11" s="107"/>
      <x:c r="C11" s="107"/>
      <x:c r="D11" s="107"/>
      <x:c r="E11" s="107"/>
      <x:c r="F11" s="107"/>
      <x:c r="G11" s="107"/>
      <x:c r="H11" s="107"/>
      <x:c r="I11" s="107"/>
      <x:c r="J11" s="107"/>
      <x:c r="K11" s="107"/>
      <x:c r="L11" s="107"/>
      <x:c r="M11" s="107"/>
      <x:c r="N11" s="107"/>
      <x:c r="O11" s="107"/>
      <x:c r="P11" s="107"/>
      <x:c r="Q11" s="107"/>
      <x:c r="R11" s="107"/>
      <x:c r="S11" s="107"/>
      <x:c r="T11" s="107"/>
    </x:row>
  </x:sheetData>
  <x:mergeCells>
    <x:mergeCell ref="A1:T1"/>
    <x:mergeCell ref="A2:A3"/>
    <x:mergeCell ref="B2:B3"/>
    <x:mergeCell ref="C2:C3"/>
    <x:mergeCell ref="D2:D3"/>
    <x:mergeCell ref="E2:E3"/>
    <x:mergeCell ref="N2:N3"/>
    <x:mergeCell ref="O2:O3"/>
    <x:mergeCell ref="P2:P3"/>
    <x:mergeCell ref="T2:T3"/>
    <x:mergeCell ref="F2:M2"/>
    <x:mergeCell ref="Q2:S2"/>
    <x:mergeCell ref="A10:T10"/>
    <x:mergeCell ref="A11:T11"/>
  </x:mergeCells>
  <x:pageMargins left="0.7" right="0.7" top="0.75" bottom="0.75" header="0.3" footer="0.3"/>
</x:worksheet>
</file>